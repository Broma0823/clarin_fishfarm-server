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phet\Downloads\"/>
    </mc:Choice>
  </mc:AlternateContent>
  <xr:revisionPtr revIDLastSave="0" documentId="13_ncr:1_{464AD5AB-6A61-470B-844B-A1B8CDF9D75D}" xr6:coauthVersionLast="47" xr6:coauthVersionMax="47" xr10:uidLastSave="{00000000-0000-0000-0000-000000000000}"/>
  <bookViews>
    <workbookView xWindow="1080" yWindow="1635" windowWidth="21600" windowHeight="11295" firstSheet="19" activeTab="24" xr2:uid="{00000000-000D-0000-FFFF-FFFF00000000}"/>
  </bookViews>
  <sheets>
    <sheet name="January (Groups)" sheetId="1" r:id="rId1"/>
    <sheet name="April (Groups)" sheetId="19" r:id="rId2"/>
    <sheet name="May (Groups)" sheetId="20" r:id="rId3"/>
    <sheet name="June (Groups)" sheetId="21" r:id="rId4"/>
    <sheet name="July (Groups)" sheetId="22" r:id="rId5"/>
    <sheet name="August (Groups)" sheetId="23" r:id="rId6"/>
    <sheet name="March (Groups)" sheetId="17" r:id="rId7"/>
    <sheet name="September (Groups)" sheetId="24" r:id="rId8"/>
    <sheet name="October (Groups)" sheetId="25" r:id="rId9"/>
    <sheet name="November (Groups)" sheetId="26" r:id="rId10"/>
    <sheet name="December (Groups)" sheetId="27" r:id="rId11"/>
    <sheet name="January" sheetId="2" r:id="rId12"/>
    <sheet name="February" sheetId="3" r:id="rId13"/>
    <sheet name="March" sheetId="4" r:id="rId14"/>
    <sheet name="April" sheetId="5" r:id="rId15"/>
    <sheet name="May" sheetId="6" r:id="rId16"/>
    <sheet name="June" sheetId="7" r:id="rId17"/>
    <sheet name="July" sheetId="8" r:id="rId18"/>
    <sheet name="August" sheetId="9" r:id="rId19"/>
    <sheet name="September" sheetId="10" r:id="rId20"/>
    <sheet name="October" sheetId="11" r:id="rId21"/>
    <sheet name="November" sheetId="12" r:id="rId22"/>
    <sheet name="December" sheetId="13" r:id="rId23"/>
    <sheet name="Province of Bohol" sheetId="16" r:id="rId24"/>
    <sheet name="February (Group)" sheetId="18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6" roundtripDataChecksum="PxxdQLHn6Dfy8BOQFUulhAhi50Ou2SeP8DY4IRbfuHw="/>
    </ext>
  </extLst>
</workbook>
</file>

<file path=xl/calcChain.xml><?xml version="1.0" encoding="utf-8"?>
<calcChain xmlns="http://schemas.openxmlformats.org/spreadsheetml/2006/main">
  <c r="K84" i="13" l="1"/>
  <c r="K82" i="13"/>
  <c r="K80" i="13"/>
  <c r="K79" i="13"/>
  <c r="N76" i="13"/>
  <c r="M76" i="13"/>
  <c r="K86" i="13" s="1"/>
  <c r="K221" i="12"/>
  <c r="K220" i="12"/>
  <c r="K219" i="12"/>
  <c r="K218" i="12"/>
  <c r="N215" i="12"/>
  <c r="M215" i="12"/>
  <c r="K225" i="12" s="1"/>
  <c r="N193" i="11"/>
  <c r="N154" i="11"/>
  <c r="N153" i="11"/>
  <c r="N255" i="10"/>
  <c r="N254" i="10"/>
  <c r="N249" i="10"/>
  <c r="N245" i="10"/>
  <c r="N239" i="10"/>
  <c r="N238" i="10"/>
  <c r="N236" i="10"/>
  <c r="N232" i="10"/>
  <c r="N230" i="10"/>
  <c r="N226" i="10"/>
  <c r="N179" i="10"/>
  <c r="N178" i="10"/>
  <c r="N17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CCA48BBA-973E-40A9-B995-097DD321814E}">
      <text>
        <r>
          <rPr>
            <sz val="11"/>
            <color theme="1"/>
            <rFont val="Calibri"/>
            <scheme val="minor"/>
          </rPr>
          <t>======
ID#AAAB0_UAyqo
Author    (2026-03-12 10:08:47)
2016 broodstock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4AD8CBB8-B009-409C-8D83-FF9C36082885}">
      <text>
        <r>
          <rPr>
            <sz val="11"/>
            <color theme="1"/>
            <rFont val="Calibri"/>
            <scheme val="minor"/>
          </rPr>
          <t>======
ID#AAAB1p72pus
Author    (2026-03-12 10:08:47)
2016 broodstock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56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ID#AAAB1p72pvI
Author    (2026-03-12 10:08:47)
SOLD</t>
        </r>
      </text>
    </comment>
    <comment ref="I257" authorId="0" shapeId="0" xr:uid="{00000000-0006-0000-0900-000002000000}">
      <text>
        <r>
          <rPr>
            <sz val="11"/>
            <color theme="1"/>
            <rFont val="Calibri"/>
            <scheme val="minor"/>
          </rPr>
          <t>======
ID#AAAB1p72pu8
Author    (2026-03-12 10:08:47)
DISPERSAL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ZJ3s7mch+pX/3aM/LIyvCSDbL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91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ID#AAAB1p72pvA
Author    (2026-03-12 10:08:47)
Start here for next Physical for the Month of November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4kTwQJaztch3WgrCRyWa2xw7LmQ=="/>
    </ext>
  </extLst>
</comments>
</file>

<file path=xl/sharedStrings.xml><?xml version="1.0" encoding="utf-8"?>
<sst xmlns="http://schemas.openxmlformats.org/spreadsheetml/2006/main" count="19521" uniqueCount="2841">
  <si>
    <t xml:space="preserve">                      FORMAT LIST OF ACTUAL BENEFICIARIES</t>
  </si>
  <si>
    <t xml:space="preserve">                  January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</si>
  <si>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</si>
  <si>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</si>
  <si>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</si>
  <si>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t xml:space="preserve">                    a. Groups</t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</si>
  <si>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</si>
  <si>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t>NUMBER</t>
  </si>
  <si>
    <t>Contact</t>
  </si>
  <si>
    <t>Name of</t>
  </si>
  <si>
    <t>Types of Goods/Services Received</t>
  </si>
  <si>
    <t>DATE OF IMPLEMENTATION</t>
  </si>
  <si>
    <t>NAME OF LGU/ASSOCIATION</t>
  </si>
  <si>
    <t>OF</t>
  </si>
  <si>
    <t>BARANGAY</t>
  </si>
  <si>
    <t>MUNICIPALITY</t>
  </si>
  <si>
    <t>No./Email</t>
  </si>
  <si>
    <t>Representatives</t>
  </si>
  <si>
    <t xml:space="preserve">QUANTITY </t>
  </si>
  <si>
    <t>COST('000)</t>
  </si>
  <si>
    <t>MEMBERS</t>
  </si>
  <si>
    <t>Address (if</t>
  </si>
  <si>
    <t>who received</t>
  </si>
  <si>
    <t>Type/Species</t>
  </si>
  <si>
    <t>RECEIVED</t>
  </si>
  <si>
    <t>TYPE</t>
  </si>
  <si>
    <t>SATISFIED/</t>
  </si>
  <si>
    <t>any)</t>
  </si>
  <si>
    <t>(Unit/kg/pcs.</t>
  </si>
  <si>
    <t>NOT SATISFIED</t>
  </si>
  <si>
    <t>DATE</t>
  </si>
  <si>
    <t>LGU-San Isidro</t>
  </si>
  <si>
    <t>Poblacion</t>
  </si>
  <si>
    <t>San Isidro</t>
  </si>
  <si>
    <t>Glecerio Oroyan</t>
  </si>
  <si>
    <t>Excel</t>
  </si>
  <si>
    <t>pond</t>
  </si>
  <si>
    <t>satisfied</t>
  </si>
  <si>
    <t>Danao Lake Small Irrigators</t>
  </si>
  <si>
    <t>of Matin-ao, Sierra Bullones</t>
  </si>
  <si>
    <t>Matin-ao</t>
  </si>
  <si>
    <t>Sierra Bullones</t>
  </si>
  <si>
    <t>Medardo Digal</t>
  </si>
  <si>
    <t>dispersal</t>
  </si>
  <si>
    <t>LGU-Garcia Hernandez,Bohol</t>
  </si>
  <si>
    <t>Garcia-Hernandez</t>
  </si>
  <si>
    <t>Mary Ann Abucejo</t>
  </si>
  <si>
    <t>LGU-Tubigon</t>
  </si>
  <si>
    <t>Tubigon</t>
  </si>
  <si>
    <t>Victor Boligao</t>
  </si>
  <si>
    <t>RHU-Catigbian</t>
  </si>
  <si>
    <t>Catigbian</t>
  </si>
  <si>
    <t>Ma. Jessa Silagan</t>
  </si>
  <si>
    <t>SUMMARY:</t>
  </si>
  <si>
    <r>
      <rPr>
        <sz val="9"/>
        <color theme="1"/>
        <rFont val="Arial"/>
      </rPr>
      <t>Direct Client: 11,300</t>
    </r>
    <r>
      <rPr>
        <u/>
        <sz val="9"/>
        <color theme="1"/>
        <rFont val="Arial"/>
      </rPr>
      <t xml:space="preserve">  pcs.</t>
    </r>
  </si>
  <si>
    <t>Prepared and Submitted by:</t>
  </si>
  <si>
    <t>Noted by:</t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</si>
  <si>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30,575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</si>
  <si>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0 pcs.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</si>
  <si>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0 pcs.</t>
    </r>
  </si>
  <si>
    <t>CANDIDO T. SAMIJON</t>
  </si>
  <si>
    <t>MARIO N. RUINATA, Ph. D.</t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</si>
  <si>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 0 pcs.</t>
    </r>
  </si>
  <si>
    <t>Sr. Aqua./OIC- CFFF</t>
  </si>
  <si>
    <t>Assistant Under The Office Of The Regional Director</t>
  </si>
  <si>
    <r>
      <rPr>
        <sz val="9"/>
        <color theme="1"/>
        <rFont val="Arial"/>
      </rPr>
      <t xml:space="preserve">Freshwater Prawn: </t>
    </r>
    <r>
      <rPr>
        <u/>
        <sz val="9"/>
        <color theme="1"/>
        <rFont val="Arial"/>
      </rPr>
      <t xml:space="preserve">  0 pcs.</t>
    </r>
  </si>
  <si>
    <t>Total area (sq.m)</t>
  </si>
  <si>
    <r>
      <rPr>
        <sz val="9"/>
        <color theme="1"/>
        <rFont val="Arial"/>
      </rPr>
      <t xml:space="preserve">  Freshwater:</t>
    </r>
    <r>
      <rPr>
        <u/>
        <sz val="9"/>
        <color theme="1"/>
        <rFont val="Arial"/>
      </rPr>
      <t xml:space="preserve"> 49,875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</si>
  <si>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______</t>
    </r>
  </si>
  <si>
    <t xml:space="preserve">                  February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</si>
  <si>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7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</si>
  <si>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6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</si>
  <si>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1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</si>
  <si>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0</t>
    </r>
  </si>
  <si>
    <t>PFO-Bohol</t>
  </si>
  <si>
    <t>Tagbilaran City</t>
  </si>
  <si>
    <t>Victor Doblas</t>
  </si>
  <si>
    <t>LGU-San Isidro, Bohol</t>
  </si>
  <si>
    <t>Brgy. Casate, Ubay</t>
  </si>
  <si>
    <t>Casate</t>
  </si>
  <si>
    <t>Ubay</t>
  </si>
  <si>
    <t>Bebot Gunayan</t>
  </si>
  <si>
    <t>FPSSD/BFAR-7</t>
  </si>
  <si>
    <t>Arellano Blvd.</t>
  </si>
  <si>
    <t>Cebu City</t>
  </si>
  <si>
    <t>Marcjun Evangelista</t>
  </si>
  <si>
    <t>C.carp</t>
  </si>
  <si>
    <t>Brgy. Bayong, Guindulman</t>
  </si>
  <si>
    <t>Bayong</t>
  </si>
  <si>
    <t>Guindulman</t>
  </si>
  <si>
    <t>Aurelio Bumaya</t>
  </si>
  <si>
    <t>Cirila Libay</t>
  </si>
  <si>
    <t>PFO-Siquijor</t>
  </si>
  <si>
    <t>Larena</t>
  </si>
  <si>
    <t>Siquijor</t>
  </si>
  <si>
    <t>Dave Bonachita</t>
  </si>
  <si>
    <t xml:space="preserve">                  March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</si>
  <si>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5</t>
    </r>
  </si>
  <si>
    <t>Ellezer Apalisok</t>
  </si>
  <si>
    <t>Loay</t>
  </si>
  <si>
    <t>BFAR Strain</t>
  </si>
  <si>
    <t>Bohol Fish Market Tienda</t>
  </si>
  <si>
    <t>APC Dao</t>
  </si>
  <si>
    <t>Culled Tilapia</t>
  </si>
  <si>
    <t>22.5 kls @ 100.00</t>
  </si>
  <si>
    <t>LGU-Jagna, Bohol</t>
  </si>
  <si>
    <t>Jagna</t>
  </si>
  <si>
    <t>Roderick Virtudazo</t>
  </si>
  <si>
    <t>Excel 2016</t>
  </si>
  <si>
    <t>GAYMELO Y. LOPEZ</t>
  </si>
  <si>
    <t>Aqua. II/OIC- CFFF</t>
  </si>
  <si>
    <t xml:space="preserve">                  April 2019</t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</si>
  <si>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4</t>
    </r>
  </si>
  <si>
    <t>LGU-Sevilla</t>
  </si>
  <si>
    <t>Balinga-an</t>
  </si>
  <si>
    <t>Sevilla</t>
  </si>
  <si>
    <t>Crispin Lumantas</t>
  </si>
  <si>
    <t>cage</t>
  </si>
  <si>
    <t>OPA-Cebu</t>
  </si>
  <si>
    <t>Joe Marie Francisco</t>
  </si>
  <si>
    <t>Koi carp</t>
  </si>
  <si>
    <t>LGU-Negros Oriental</t>
  </si>
  <si>
    <t>Dumaguete City</t>
  </si>
  <si>
    <t>Gladys Ignacio</t>
  </si>
  <si>
    <t>Operating Facilities Coordinator</t>
  </si>
  <si>
    <t xml:space="preserve">                  May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</si>
  <si>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3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</si>
  <si>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2</t>
    </r>
  </si>
  <si>
    <t>LGU-Duero, Bohol</t>
  </si>
  <si>
    <t>Duero, Bohol</t>
  </si>
  <si>
    <t>Mariano Castino Jr.</t>
  </si>
  <si>
    <t>Excel breeders</t>
  </si>
  <si>
    <t>Excel fry</t>
  </si>
  <si>
    <t>LGU-Loon, Bohol</t>
  </si>
  <si>
    <t>Loon, Bohol</t>
  </si>
  <si>
    <t>Eddie Mellejor</t>
  </si>
  <si>
    <t>LGU-Garcia Hernandez</t>
  </si>
  <si>
    <t>Garcia Hernandez</t>
  </si>
  <si>
    <t xml:space="preserve">                  June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</si>
  <si>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4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</si>
  <si>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3</t>
    </r>
  </si>
  <si>
    <t>LGU-Maribojoc</t>
  </si>
  <si>
    <t>Maribojoc</t>
  </si>
  <si>
    <t>Christopher Banaiz</t>
  </si>
  <si>
    <t>Abehilan</t>
  </si>
  <si>
    <t>Ruel Cabug-os</t>
  </si>
  <si>
    <t>LGU-Valencia</t>
  </si>
  <si>
    <t>Canmanico</t>
  </si>
  <si>
    <t>Valencia</t>
  </si>
  <si>
    <t>Jerajane Namindang</t>
  </si>
  <si>
    <t xml:space="preserve">                  July 2019</t>
  </si>
  <si>
    <t>LGU-Balilihan</t>
  </si>
  <si>
    <t>Balilihan</t>
  </si>
  <si>
    <t>Anita Salibay</t>
  </si>
  <si>
    <t>LGU-Loon</t>
  </si>
  <si>
    <t>Cogon Norte</t>
  </si>
  <si>
    <t>Loon</t>
  </si>
  <si>
    <t>LGU-Antequera</t>
  </si>
  <si>
    <t>Antequera</t>
  </si>
  <si>
    <t>Paterna Renedado</t>
  </si>
  <si>
    <t>LGU-Catigbian</t>
  </si>
  <si>
    <t>Emma Merano</t>
  </si>
  <si>
    <t>Bugang Tilapia Growers</t>
  </si>
  <si>
    <t>Bugang</t>
  </si>
  <si>
    <t>San Miguel</t>
  </si>
  <si>
    <t>Jose Junser Ursos</t>
  </si>
  <si>
    <t>Panggapasan</t>
  </si>
  <si>
    <t xml:space="preserve">                  August 2019</t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</si>
  <si>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3</t>
    </r>
  </si>
  <si>
    <t>FPSSD-BFAR-7</t>
  </si>
  <si>
    <t>C. carp</t>
  </si>
  <si>
    <t>Cantao-an Farmers Assn.</t>
  </si>
  <si>
    <t>Cantao-an</t>
  </si>
  <si>
    <t>Naga City Cebu</t>
  </si>
  <si>
    <t>Leonila Camomot</t>
  </si>
  <si>
    <t>LGU-Bayawan City,</t>
  </si>
  <si>
    <t>Negros Oriental</t>
  </si>
  <si>
    <t>Bayawan City</t>
  </si>
  <si>
    <t>Ricky Abayon</t>
  </si>
  <si>
    <t>Excel b'stock</t>
  </si>
  <si>
    <t>BFAR strain</t>
  </si>
  <si>
    <t>LGU-San Isidro,Bohol</t>
  </si>
  <si>
    <t xml:space="preserve">Excel </t>
  </si>
  <si>
    <t>LGU-Bilar,Bohol</t>
  </si>
  <si>
    <t>Bilar</t>
  </si>
  <si>
    <t>Reinerio Tejada</t>
  </si>
  <si>
    <t>FPSSD/Aquaculture Division</t>
  </si>
  <si>
    <t>Marl Jun Evangelista</t>
  </si>
  <si>
    <t xml:space="preserve">                  September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</si>
  <si>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9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</si>
  <si>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8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</si>
  <si>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1</t>
    </r>
  </si>
  <si>
    <t>LGU-Trinidad</t>
  </si>
  <si>
    <t>Trinidad</t>
  </si>
  <si>
    <t>Association</t>
  </si>
  <si>
    <t>San Pascual</t>
  </si>
  <si>
    <t>Nonato Basilad</t>
  </si>
  <si>
    <t>Sarish Incorporated</t>
  </si>
  <si>
    <t>San Roque</t>
  </si>
  <si>
    <t>Talibon</t>
  </si>
  <si>
    <t>Rolando Polistico</t>
  </si>
  <si>
    <t>LGU-Oslob</t>
  </si>
  <si>
    <t>Oslob</t>
  </si>
  <si>
    <t>Andres Bojos</t>
  </si>
  <si>
    <t>LDFFF- Camotes Cebu</t>
  </si>
  <si>
    <t>San Francisco</t>
  </si>
  <si>
    <t>Camotes</t>
  </si>
  <si>
    <t>PFO- Bohol</t>
  </si>
  <si>
    <t xml:space="preserve">                  October 2019</t>
  </si>
  <si>
    <t>Kalinga-an</t>
  </si>
  <si>
    <t>LGU-Mayana Jagna</t>
  </si>
  <si>
    <t>Mayana</t>
  </si>
  <si>
    <t>Castro Pinoliad</t>
  </si>
  <si>
    <t>Romeo Torralba</t>
  </si>
  <si>
    <t xml:space="preserve">                   January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</si>
  <si>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212</t>
    </r>
  </si>
  <si>
    <t>Male: 176</t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</si>
  <si>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36</t>
    </r>
  </si>
  <si>
    <t xml:space="preserve">                    a. Individuals</t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</si>
  <si>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18</t>
    </r>
  </si>
  <si>
    <t xml:space="preserve">                                Types of Goods/Services Received</t>
  </si>
  <si>
    <t>NAME OF BENEFICIARIES</t>
  </si>
  <si>
    <t>GENDER</t>
  </si>
  <si>
    <t xml:space="preserve">Contact No./Email </t>
  </si>
  <si>
    <t>Address(if any)</t>
  </si>
  <si>
    <t>(Unit/kg/pcs.)</t>
  </si>
  <si>
    <t>Romulo Ampong</t>
  </si>
  <si>
    <t>Male</t>
  </si>
  <si>
    <t>Talisay</t>
  </si>
  <si>
    <t>Anda</t>
  </si>
  <si>
    <t>Eleno Cerelegia</t>
  </si>
  <si>
    <t>Villafuerte</t>
  </si>
  <si>
    <t>Carmen</t>
  </si>
  <si>
    <t>Carlos Pesanos</t>
  </si>
  <si>
    <t>Buacao</t>
  </si>
  <si>
    <t>Clarin</t>
  </si>
  <si>
    <t>Selmar Monil</t>
  </si>
  <si>
    <t>Cansumbol</t>
  </si>
  <si>
    <t>Adriano Tasic</t>
  </si>
  <si>
    <t>Alegria</t>
  </si>
  <si>
    <t>Jaime Palmitos</t>
  </si>
  <si>
    <t>Danao</t>
  </si>
  <si>
    <t>Swordtail</t>
  </si>
  <si>
    <t>Constancio Manatad</t>
  </si>
  <si>
    <t>Villaflor</t>
  </si>
  <si>
    <t>Lydia dela Torre</t>
  </si>
  <si>
    <t>Female</t>
  </si>
  <si>
    <t>Sta. Cruz</t>
  </si>
  <si>
    <t>Batuan</t>
  </si>
  <si>
    <t>Jose Nioda</t>
  </si>
  <si>
    <t>Nabuad</t>
  </si>
  <si>
    <t>Inabanga</t>
  </si>
  <si>
    <t>Romelito Rama</t>
  </si>
  <si>
    <t>Abucayan Sur</t>
  </si>
  <si>
    <t>Calape</t>
  </si>
  <si>
    <t>Ricky Organiza</t>
  </si>
  <si>
    <t>Rosaryohan</t>
  </si>
  <si>
    <r>
      <rPr>
        <sz val="11"/>
        <color theme="1"/>
        <rFont val="Calibri"/>
      </rPr>
      <t>Danilo Ca</t>
    </r>
    <r>
      <rPr>
        <sz val="11"/>
        <color theme="1"/>
        <rFont val="Calibri"/>
      </rPr>
      <t>ñete</t>
    </r>
  </si>
  <si>
    <t>Bahaan</t>
  </si>
  <si>
    <t>Jomil Lucero</t>
  </si>
  <si>
    <t>Triple Union</t>
  </si>
  <si>
    <t>Joselito Gumapac</t>
  </si>
  <si>
    <t>Guadalupe</t>
  </si>
  <si>
    <t>Sherel Jamora</t>
  </si>
  <si>
    <t>Zamora</t>
  </si>
  <si>
    <t>Raymart Lumacad</t>
  </si>
  <si>
    <t>Tawid</t>
  </si>
  <si>
    <t>Tirso Tinay</t>
  </si>
  <si>
    <t>Quirino</t>
  </si>
  <si>
    <t>Glenn Divinagracia</t>
  </si>
  <si>
    <t>Sta. Fe</t>
  </si>
  <si>
    <t>John Alnaer Joriza</t>
  </si>
  <si>
    <t>Tagum Norte</t>
  </si>
  <si>
    <t>Blackmolly</t>
  </si>
  <si>
    <t>Rosa Bongato</t>
  </si>
  <si>
    <t xml:space="preserve">Villaflor </t>
  </si>
  <si>
    <t>Julito Mejorada</t>
  </si>
  <si>
    <t>Montesuerte</t>
  </si>
  <si>
    <t>Jessie Camanzo</t>
  </si>
  <si>
    <t>Dario Baculpo</t>
  </si>
  <si>
    <t>Liberty</t>
  </si>
  <si>
    <t>Bien Unido</t>
  </si>
  <si>
    <t>Serapin Espanso</t>
  </si>
  <si>
    <t>Teodoro Calacar</t>
  </si>
  <si>
    <t>Candabong</t>
  </si>
  <si>
    <t>Loboc</t>
  </si>
  <si>
    <t>Glenn Fuentes</t>
  </si>
  <si>
    <t>Longlong Saven</t>
  </si>
  <si>
    <t>Campagao</t>
  </si>
  <si>
    <t>Fernando Durante</t>
  </si>
  <si>
    <t>Calatrava</t>
  </si>
  <si>
    <t>Analie Degamo</t>
  </si>
  <si>
    <t>Tontunan</t>
  </si>
  <si>
    <t>Jhenos Aspe</t>
  </si>
  <si>
    <t>Rufino Cabug-os</t>
  </si>
  <si>
    <t>Aloja</t>
  </si>
  <si>
    <t>Joel Dumaguit</t>
  </si>
  <si>
    <t>Candumayao</t>
  </si>
  <si>
    <t>Catigibian</t>
  </si>
  <si>
    <t>Leneboy Palingcod</t>
  </si>
  <si>
    <t>Edilyn Rubin</t>
  </si>
  <si>
    <t>Causwagan</t>
  </si>
  <si>
    <t>Catigiban</t>
  </si>
  <si>
    <t>Geovanni Cepedoza</t>
  </si>
  <si>
    <t>Magtangtang</t>
  </si>
  <si>
    <t>Tito Camposo</t>
  </si>
  <si>
    <t>Canmaya Diot</t>
  </si>
  <si>
    <t>Sagbayan</t>
  </si>
  <si>
    <t>Marivic Amang</t>
  </si>
  <si>
    <t>Cabacnitan</t>
  </si>
  <si>
    <t>Randy Torrenueva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</si>
  <si>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</si>
  <si>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Angel Lico</t>
  </si>
  <si>
    <t>Sagasa</t>
  </si>
  <si>
    <t>Jose Abayon</t>
  </si>
  <si>
    <t>Macaas</t>
  </si>
  <si>
    <t>Nazier Dublin</t>
  </si>
  <si>
    <t>Nahud</t>
  </si>
  <si>
    <t>Regino Remorosa</t>
  </si>
  <si>
    <t>Rey Maugdug</t>
  </si>
  <si>
    <t>Candelaria</t>
  </si>
  <si>
    <t>Dagohoy</t>
  </si>
  <si>
    <t>Fortunato Mumar</t>
  </si>
  <si>
    <t>Buenavista</t>
  </si>
  <si>
    <t>Boy Lopez</t>
  </si>
  <si>
    <t>Bryan Buno</t>
  </si>
  <si>
    <t>San Agustin</t>
  </si>
  <si>
    <t>Restituto Auza</t>
  </si>
  <si>
    <t>Patricio Cutin</t>
  </si>
  <si>
    <t>Tanny Gerebeze</t>
  </si>
  <si>
    <t>Banlasan</t>
  </si>
  <si>
    <t>Rodrigo Rosales</t>
  </si>
  <si>
    <t>Guinobatan</t>
  </si>
  <si>
    <t>Kirk Caparida</t>
  </si>
  <si>
    <t>Gen. Climaco</t>
  </si>
  <si>
    <t>Toledo City</t>
  </si>
  <si>
    <t>Arcadio Salces</t>
  </si>
  <si>
    <t>Endie Artiaga</t>
  </si>
  <si>
    <t>Junior Artiaga</t>
  </si>
  <si>
    <t>Angelou Cajes</t>
  </si>
  <si>
    <t xml:space="preserve">La Victoria </t>
  </si>
  <si>
    <t>Fortunato Reyes</t>
  </si>
  <si>
    <t>San Antonio</t>
  </si>
  <si>
    <t>Grace Bongato</t>
  </si>
  <si>
    <t>Gil Lozano</t>
  </si>
  <si>
    <t>San Juan</t>
  </si>
  <si>
    <t>Felix Avergonzado</t>
  </si>
  <si>
    <t>Marino Mar</t>
  </si>
  <si>
    <t>Lapacan Sur</t>
  </si>
  <si>
    <t>Ralph Atabelo</t>
  </si>
  <si>
    <t>Pooc. Oriental</t>
  </si>
  <si>
    <t>Thelma Hinayas</t>
  </si>
  <si>
    <t>Sta. Catalina</t>
  </si>
  <si>
    <t>Efren Gula</t>
  </si>
  <si>
    <t>Lawis</t>
  </si>
  <si>
    <t>Flowerhorn</t>
  </si>
  <si>
    <r>
      <rPr>
        <sz val="11"/>
        <color theme="1"/>
        <rFont val="Calibri"/>
      </rPr>
      <t>Anastacio Ni</t>
    </r>
    <r>
      <rPr>
        <sz val="11"/>
        <color theme="1"/>
        <rFont val="Calibri"/>
      </rPr>
      <t>ñolas</t>
    </r>
  </si>
  <si>
    <t>Jhena Ewa</t>
  </si>
  <si>
    <t>Candajec</t>
  </si>
  <si>
    <t>Humprey Tapayan</t>
  </si>
  <si>
    <t>Pinayagan Sur</t>
  </si>
  <si>
    <t>Albert Decierdo</t>
  </si>
  <si>
    <t>Lajog</t>
  </si>
  <si>
    <t>Victor Torrefranca</t>
  </si>
  <si>
    <t>Alex Bague</t>
  </si>
  <si>
    <t>El Salvador</t>
  </si>
  <si>
    <t>Jun Ryan Arcayos</t>
  </si>
  <si>
    <t>Jaime Barace</t>
  </si>
  <si>
    <t>Madilyn Pojas</t>
  </si>
  <si>
    <t>Josephine Bulala</t>
  </si>
  <si>
    <t xml:space="preserve">San Miguel </t>
  </si>
  <si>
    <t>Jeson Enad</t>
  </si>
  <si>
    <t>Zarme Arcayos</t>
  </si>
  <si>
    <t>Artemia Ajoc</t>
  </si>
  <si>
    <t>Megallin Loriano</t>
  </si>
  <si>
    <t>Nahawan</t>
  </si>
  <si>
    <t>Reynaldo Bentulan</t>
  </si>
  <si>
    <t>Gallares St.</t>
  </si>
  <si>
    <t>Robert Olair</t>
  </si>
  <si>
    <t>Baltazar Fernandez II</t>
  </si>
  <si>
    <t>Pooc Occidental</t>
  </si>
  <si>
    <t>Ariel Tuquib</t>
  </si>
  <si>
    <t>Cabulijan</t>
  </si>
  <si>
    <t>Rene Campos</t>
  </si>
  <si>
    <t>Ritchie Estoria</t>
  </si>
  <si>
    <t>Katipunan</t>
  </si>
  <si>
    <t>Alicia</t>
  </si>
  <si>
    <t>Rosenda Masanegra</t>
  </si>
  <si>
    <t>Bayongan</t>
  </si>
  <si>
    <t>Roberto Rosales</t>
  </si>
  <si>
    <t>Sikatuna</t>
  </si>
  <si>
    <t>Jerry Nalla</t>
  </si>
  <si>
    <t>Genoviva</t>
  </si>
  <si>
    <t>Lucio Maning</t>
  </si>
  <si>
    <t>Nueva Vida Sur</t>
  </si>
  <si>
    <t>Albert Libante</t>
  </si>
  <si>
    <t>Ubujan</t>
  </si>
  <si>
    <t>Jovencio Paquibot Jr.</t>
  </si>
  <si>
    <t>Dionesio Paquibot</t>
  </si>
  <si>
    <t>Antero Betinol</t>
  </si>
  <si>
    <t>Celso Guzman</t>
  </si>
  <si>
    <t>Panab-an</t>
  </si>
  <si>
    <t>Felipe Mondaga</t>
  </si>
  <si>
    <t>Isidro Acodili</t>
  </si>
  <si>
    <t>Abraham Tecson</t>
  </si>
  <si>
    <t>Cantubod</t>
  </si>
  <si>
    <t>Pio Tapuroc</t>
  </si>
  <si>
    <t>San Vicente</t>
  </si>
  <si>
    <t>Gloria Sanchez</t>
  </si>
  <si>
    <t>Bacani</t>
  </si>
  <si>
    <t>Maria Ignacio</t>
  </si>
  <si>
    <t>Renante Aparece</t>
  </si>
  <si>
    <t>Hercules Reyes</t>
  </si>
  <si>
    <t>Ilihan</t>
  </si>
  <si>
    <t>Rudy Bolo</t>
  </si>
  <si>
    <t>F. Prawn</t>
  </si>
  <si>
    <t>Alberto Merto</t>
  </si>
  <si>
    <t>Cristituto Bulawan</t>
  </si>
  <si>
    <t>Canmaya</t>
  </si>
  <si>
    <t>Ronald Navarro</t>
  </si>
  <si>
    <t>Pearly Jean Betalmos</t>
  </si>
  <si>
    <t>Ma. Rosario</t>
  </si>
  <si>
    <t>Ranulfo Digamon</t>
  </si>
  <si>
    <t>Quezon</t>
  </si>
  <si>
    <t>Lea Campion</t>
  </si>
  <si>
    <t>Lourdes Aparicio</t>
  </si>
  <si>
    <t>Yong Avenido</t>
  </si>
  <si>
    <t>Erwin Garcia</t>
  </si>
  <si>
    <t>Sohoton</t>
  </si>
  <si>
    <t>Marilou Escalona</t>
  </si>
  <si>
    <r>
      <rPr>
        <sz val="11"/>
        <color theme="1"/>
        <rFont val="Calibri"/>
      </rPr>
      <t>Pe</t>
    </r>
    <r>
      <rPr>
        <sz val="11"/>
        <color theme="1"/>
        <rFont val="Calibri"/>
      </rPr>
      <t>ñaflor</t>
    </r>
  </si>
  <si>
    <t>Mary Grace Tocmo</t>
  </si>
  <si>
    <t>Calangahan</t>
  </si>
  <si>
    <t>Jerry Bacolod</t>
  </si>
  <si>
    <t>Virgie Alvar</t>
  </si>
  <si>
    <t>Cahayag</t>
  </si>
  <si>
    <t>Titus Dumotan</t>
  </si>
  <si>
    <t>Tomas Torrenueva</t>
  </si>
  <si>
    <r>
      <rPr>
        <sz val="11"/>
        <color theme="1"/>
        <rFont val="Calibri"/>
      </rPr>
      <t xml:space="preserve">Sto. </t>
    </r>
    <r>
      <rPr>
        <sz val="11"/>
        <color theme="1"/>
        <rFont val="Calibri"/>
      </rPr>
      <t>Ñino</t>
    </r>
  </si>
  <si>
    <r>
      <rPr>
        <sz val="11"/>
        <color theme="1"/>
        <rFont val="Calibri"/>
      </rPr>
      <t xml:space="preserve">Sto. </t>
    </r>
    <r>
      <rPr>
        <sz val="11"/>
        <color theme="1"/>
        <rFont val="Calibri"/>
      </rPr>
      <t>Ñino</t>
    </r>
  </si>
  <si>
    <t>Tito Ajoc</t>
  </si>
  <si>
    <t>Antonio Tahanlangit</t>
  </si>
  <si>
    <t>Lennon Bulilan</t>
  </si>
  <si>
    <t>Zennon Lenteria</t>
  </si>
  <si>
    <t>Buangan</t>
  </si>
  <si>
    <t>Jorivell Orioque</t>
  </si>
  <si>
    <t>Corazon</t>
  </si>
  <si>
    <t>Marcelino Atop</t>
  </si>
  <si>
    <t>Campatud</t>
  </si>
  <si>
    <t>Vinz Troy Gudelusao</t>
  </si>
  <si>
    <t>Luyo</t>
  </si>
  <si>
    <t>Darel Omania</t>
  </si>
  <si>
    <t>Bosongon</t>
  </si>
  <si>
    <t>Renato Garcia</t>
  </si>
  <si>
    <t>Feliciano Jamil</t>
  </si>
  <si>
    <t>Angel Munez</t>
  </si>
  <si>
    <t>Arriala Albialde</t>
  </si>
  <si>
    <t>Adriano Anzano</t>
  </si>
  <si>
    <t>Suwa</t>
  </si>
  <si>
    <t>Edgar Avenido</t>
  </si>
  <si>
    <t>Dominador Pagas</t>
  </si>
  <si>
    <t>Tito Causin</t>
  </si>
  <si>
    <t>Barili</t>
  </si>
  <si>
    <t>Tegie Vistal</t>
  </si>
  <si>
    <t>Cagawasan</t>
  </si>
  <si>
    <t>Raymund Lastimoso</t>
  </si>
  <si>
    <t>Panadtaran</t>
  </si>
  <si>
    <t>Candijay</t>
  </si>
  <si>
    <t>Jerome Omamalin</t>
  </si>
  <si>
    <t>Emma Pailanan</t>
  </si>
  <si>
    <t>Ramie Quinio</t>
  </si>
  <si>
    <t>Reymond Gerigdig</t>
  </si>
  <si>
    <t>Talenceras</t>
  </si>
  <si>
    <t>Ramil Tagimacruz</t>
  </si>
  <si>
    <t>Lahug</t>
  </si>
  <si>
    <t>Ariel Quibol</t>
  </si>
  <si>
    <t>Labuon</t>
  </si>
  <si>
    <t>Zenaida Dalagan</t>
  </si>
  <si>
    <t>Erwin Orquiza</t>
  </si>
  <si>
    <t>Marcela Palma</t>
  </si>
  <si>
    <t>Erwin Polosan</t>
  </si>
  <si>
    <t>Ernesto Pailanan</t>
  </si>
  <si>
    <t>Jhunriel Bernales</t>
  </si>
  <si>
    <t>Nemuel Flores</t>
  </si>
  <si>
    <t>Mary Joyce Josol</t>
  </si>
  <si>
    <t>Desamparados</t>
  </si>
  <si>
    <t>Crisanto Degamo</t>
  </si>
  <si>
    <t>Babag</t>
  </si>
  <si>
    <t>Joselito Quinal</t>
  </si>
  <si>
    <r>
      <rPr>
        <sz val="11"/>
        <color theme="1"/>
        <rFont val="Calibri"/>
      </rPr>
      <t>William Ni</t>
    </r>
    <r>
      <rPr>
        <sz val="11"/>
        <color theme="1"/>
        <rFont val="Calibri"/>
      </rPr>
      <t>ñeza</t>
    </r>
  </si>
  <si>
    <t>Ilaya</t>
  </si>
  <si>
    <t>Danilo Pangatungan</t>
  </si>
  <si>
    <t>Demcent Labus</t>
  </si>
  <si>
    <t>Leonardo Ancog</t>
  </si>
  <si>
    <t>Zalde Canoy</t>
  </si>
  <si>
    <t>Bagacay</t>
  </si>
  <si>
    <t>Israel Oliveros</t>
  </si>
  <si>
    <t>Lipata</t>
  </si>
  <si>
    <t>Ernesto Pacaldo</t>
  </si>
  <si>
    <t>Lusong</t>
  </si>
  <si>
    <t>Marivic Durante</t>
  </si>
  <si>
    <t>Khem Bryan Navarro</t>
  </si>
  <si>
    <t>Ebenezer Abergas</t>
  </si>
  <si>
    <t>Alvin Anabieza</t>
  </si>
  <si>
    <t>Jorie Cel Elecsion</t>
  </si>
  <si>
    <t>Cantoyoc</t>
  </si>
  <si>
    <t>Jerson Nocos</t>
  </si>
  <si>
    <t>Pilar</t>
  </si>
  <si>
    <t>Alexander Doloso</t>
  </si>
  <si>
    <t>Susana Magallen</t>
  </si>
  <si>
    <t>Jovencio Galan</t>
  </si>
  <si>
    <t>Malitbog</t>
  </si>
  <si>
    <t>Julieta Gumapat</t>
  </si>
  <si>
    <t>Pob. Vieja</t>
  </si>
  <si>
    <t>Rosita Cifra</t>
  </si>
  <si>
    <t>Mahayag</t>
  </si>
  <si>
    <t>Juliet Baliling</t>
  </si>
  <si>
    <t>Montehermoso</t>
  </si>
  <si>
    <t>Joel delos Reyes</t>
  </si>
  <si>
    <t>Jonjon Quilag</t>
  </si>
  <si>
    <t>Arnold Sales</t>
  </si>
  <si>
    <t>Dionesio Quijano</t>
  </si>
  <si>
    <t>Sagbayan Sur</t>
  </si>
  <si>
    <t>Donald Abucay</t>
  </si>
  <si>
    <t>Tanday</t>
  </si>
  <si>
    <t>Corella</t>
  </si>
  <si>
    <t>Leonardo Jabay</t>
  </si>
  <si>
    <t>San Jose</t>
  </si>
  <si>
    <t>Danilo Abrigara</t>
  </si>
  <si>
    <t>Pag-asa</t>
  </si>
  <si>
    <t>Baltazar Fernandez III</t>
  </si>
  <si>
    <t>Felixberto Rama</t>
  </si>
  <si>
    <t>Nicolo Cagas</t>
  </si>
  <si>
    <t>Danicop</t>
  </si>
  <si>
    <t>Sherwin Jayoma</t>
  </si>
  <si>
    <t>Proseller Ocsin</t>
  </si>
  <si>
    <t>satisified</t>
  </si>
  <si>
    <t>Rico Budiongan</t>
  </si>
  <si>
    <t>Camayaan</t>
  </si>
  <si>
    <t>Elias Apostol</t>
  </si>
  <si>
    <t>Ronel Jamil</t>
  </si>
  <si>
    <t>Rolando Divino</t>
  </si>
  <si>
    <t>Emmanuel Lupian</t>
  </si>
  <si>
    <t>Quinciano Boncales</t>
  </si>
  <si>
    <t>Arterio Eyana</t>
  </si>
  <si>
    <t>Edwin Nuez</t>
  </si>
  <si>
    <t>Alberto Estoreon</t>
  </si>
  <si>
    <t>Dennis Batistis</t>
  </si>
  <si>
    <t>Buenos Aires</t>
  </si>
  <si>
    <t>Rinna Nuera</t>
  </si>
  <si>
    <t>Hinlayagan Ilaya</t>
  </si>
  <si>
    <t>Johnny Alo</t>
  </si>
  <si>
    <t>Socrates Digaum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</si>
  <si>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Basaca</t>
    </r>
  </si>
  <si>
    <t>Poblacion Sur</t>
  </si>
  <si>
    <t>Judito Alasco</t>
  </si>
  <si>
    <t>Nueva Vida Este</t>
  </si>
  <si>
    <t>Edcel Gudalusao</t>
  </si>
  <si>
    <t>Mencho Cuso</t>
  </si>
  <si>
    <t>Anoling</t>
  </si>
  <si>
    <t>Roy Saralibo</t>
  </si>
  <si>
    <t>Abundio Vistal</t>
  </si>
  <si>
    <t>Pob.Norte</t>
  </si>
  <si>
    <t>Rodel Felisilda</t>
  </si>
  <si>
    <t>Estaca</t>
  </si>
  <si>
    <t>John Harold Petallar</t>
  </si>
  <si>
    <t>Total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</si>
  <si>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>661,500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</si>
  <si>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>39,100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</si>
  <si>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0</t>
    </r>
  </si>
  <si>
    <r>
      <rPr>
        <sz val="9"/>
        <color theme="1"/>
        <rFont val="Arial"/>
      </rPr>
      <t xml:space="preserve">Ornamental Fish: </t>
    </r>
    <r>
      <rPr>
        <u/>
        <sz val="9"/>
        <color theme="1"/>
        <rFont val="Arial"/>
      </rPr>
      <t>2,033 pcs.</t>
    </r>
  </si>
  <si>
    <t>Assistant Under the Office of the Regional Director</t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</si>
  <si>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</si>
  <si>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</si>
  <si>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126,471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</si>
  <si>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157,020</t>
    </r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</si>
  <si>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</si>
  <si>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</si>
  <si>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Female:</t>
    </r>
    <r>
      <rPr>
        <u/>
        <sz val="10"/>
        <color theme="1"/>
        <rFont val="Arial"/>
      </rPr>
      <t xml:space="preserve">  </t>
    </r>
  </si>
  <si>
    <r>
      <rPr>
        <sz val="10"/>
        <color theme="1"/>
        <rFont val="Arial"/>
      </rPr>
      <t>Others:(S.C./PWD)</t>
    </r>
    <r>
      <rPr>
        <u/>
        <sz val="10"/>
        <color theme="1"/>
        <rFont val="Arial"/>
      </rPr>
      <t xml:space="preserve"> </t>
    </r>
  </si>
  <si>
    <r>
      <rPr>
        <sz val="9"/>
        <color theme="1"/>
        <rFont val="Arial"/>
      </rPr>
      <t>Direct Client: 11,300</t>
    </r>
    <r>
      <rPr>
        <u/>
        <sz val="9"/>
        <color theme="1"/>
        <rFont val="Arial"/>
      </rPr>
      <t xml:space="preserve"> 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</si>
  <si>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30,575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</si>
  <si>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0 pcs.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</si>
  <si>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0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</si>
  <si>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 0 pcs.</t>
    </r>
  </si>
  <si>
    <r>
      <rPr>
        <sz val="9"/>
        <color theme="1"/>
        <rFont val="Arial"/>
      </rPr>
      <t xml:space="preserve">Freshwater Prawn: </t>
    </r>
    <r>
      <rPr>
        <u/>
        <sz val="9"/>
        <color theme="1"/>
        <rFont val="Arial"/>
      </rPr>
      <t xml:space="preserve">  0 pcs.</t>
    </r>
  </si>
  <si>
    <r>
      <rPr>
        <sz val="9"/>
        <color theme="1"/>
        <rFont val="Arial"/>
      </rPr>
      <t xml:space="preserve">  Freshwater:</t>
    </r>
    <r>
      <rPr>
        <u/>
        <sz val="9"/>
        <color theme="1"/>
        <rFont val="Arial"/>
      </rPr>
      <t xml:space="preserve"> 49,875</t>
    </r>
  </si>
  <si>
    <r>
      <rPr>
        <sz val="9"/>
        <color theme="1"/>
        <rFont val="Arial"/>
      </rPr>
      <t xml:space="preserve">  Brackishwater:</t>
    </r>
    <r>
      <rPr>
        <u/>
        <sz val="9"/>
        <color theme="1"/>
        <rFont val="Arial"/>
      </rPr>
      <t xml:space="preserve"> ______</t>
    </r>
  </si>
  <si>
    <t xml:space="preserve">                   February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</si>
  <si>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182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</si>
  <si>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148</t>
    </r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</si>
  <si>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34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</si>
  <si>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14</t>
    </r>
  </si>
  <si>
    <t>Lilibeth Sendrijas</t>
  </si>
  <si>
    <t xml:space="preserve">Zamora </t>
  </si>
  <si>
    <t>Pacifico Tumabang</t>
  </si>
  <si>
    <t>CPG. Avenue</t>
  </si>
  <si>
    <t>Paulo Laolao</t>
  </si>
  <si>
    <t>Villarcayo</t>
  </si>
  <si>
    <t>Raul Suarez</t>
  </si>
  <si>
    <t>Dauis</t>
  </si>
  <si>
    <t>Patrick James Velez</t>
  </si>
  <si>
    <t>Cabog</t>
  </si>
  <si>
    <t>Gregorio Pogoy</t>
  </si>
  <si>
    <t>Caluwasan</t>
  </si>
  <si>
    <t>Iryn Sinsano</t>
  </si>
  <si>
    <t>Joshua Andoy</t>
  </si>
  <si>
    <t>Bogtongbod</t>
  </si>
  <si>
    <t>Rodulfo Rubilla</t>
  </si>
  <si>
    <t>Maitom</t>
  </si>
  <si>
    <t>Dennis Alcasar</t>
  </si>
  <si>
    <t>Potohan</t>
  </si>
  <si>
    <t>Virginia Saluberes</t>
  </si>
  <si>
    <t>La Suerte</t>
  </si>
  <si>
    <t>Nicolas Buaya</t>
  </si>
  <si>
    <t>Alfredo Paulines</t>
  </si>
  <si>
    <t>San Carlos</t>
  </si>
  <si>
    <t>Jungie Guisihan</t>
  </si>
  <si>
    <t>Pinafort Amegable</t>
  </si>
  <si>
    <t>Kauswagan</t>
  </si>
  <si>
    <t>Panfilo Divino</t>
  </si>
  <si>
    <t>Dennis Cequina</t>
  </si>
  <si>
    <t>Triple</t>
  </si>
  <si>
    <t>Nelson Ore</t>
  </si>
  <si>
    <t>Avelino Maglajos</t>
  </si>
  <si>
    <t>Pob. West</t>
  </si>
  <si>
    <t>Mary Jane Aparre</t>
  </si>
  <si>
    <t>Precioso Lagapa Jr.</t>
  </si>
  <si>
    <t>Red Manigo</t>
  </si>
  <si>
    <t>Junrey Mancha</t>
  </si>
  <si>
    <t>Juanito Macabudbud</t>
  </si>
  <si>
    <t>Jeford Godelosao</t>
  </si>
  <si>
    <t>Rene Lagrosa</t>
  </si>
  <si>
    <t>Ernesto Manla</t>
  </si>
  <si>
    <t>Joventino Dumalagan</t>
  </si>
  <si>
    <t>Jefferson Tura</t>
  </si>
  <si>
    <t>Manuel Llanto</t>
  </si>
  <si>
    <t>Eugenio Estillore</t>
  </si>
  <si>
    <t>Augustino Bautista</t>
  </si>
  <si>
    <t>Ignacio Melloria</t>
  </si>
  <si>
    <t>Liloan</t>
  </si>
  <si>
    <t>Marlyn Buslatan</t>
  </si>
  <si>
    <t>Nanet Cajes</t>
  </si>
  <si>
    <t>Mahagbo</t>
  </si>
  <si>
    <t>Ranulfo Tagsip</t>
  </si>
  <si>
    <t>Nelson Silagan</t>
  </si>
  <si>
    <t>Rodrigo Amba</t>
  </si>
  <si>
    <t>Cambigsi</t>
  </si>
  <si>
    <t>Dennis Agbon</t>
  </si>
  <si>
    <t>Vallehermoso</t>
  </si>
  <si>
    <t>Francisco Valentos</t>
  </si>
  <si>
    <t>Adrian Verana</t>
  </si>
  <si>
    <t>Felipa Alicame</t>
  </si>
  <si>
    <t>France Obquia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</si>
  <si>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</si>
  <si>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Getafe</t>
  </si>
  <si>
    <t>Allan Tenajeros</t>
  </si>
  <si>
    <t>Fryling Mylene</t>
  </si>
  <si>
    <t>Alfredo Corage</t>
  </si>
  <si>
    <t>Genonocan</t>
  </si>
  <si>
    <t>Rogelio Nogalada</t>
  </si>
  <si>
    <t>Gino Torrenueva</t>
  </si>
  <si>
    <t>Concepcion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</si>
  <si>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Rey Loma</t>
    </r>
  </si>
  <si>
    <t>Ronaldo Platino</t>
  </si>
  <si>
    <t>Mardem Gapas</t>
  </si>
  <si>
    <t>Allan Sentorias</t>
  </si>
  <si>
    <t>Eudenne John Salangsang</t>
  </si>
  <si>
    <t>Tungod</t>
  </si>
  <si>
    <t>Larida Baldapan</t>
  </si>
  <si>
    <t>Marissa Cadinas</t>
  </si>
  <si>
    <t>Ricardo Palingcod</t>
  </si>
  <si>
    <t>Narciso Molos</t>
  </si>
  <si>
    <t>Teodulo Tuba</t>
  </si>
  <si>
    <t>Junior Macabudbud</t>
  </si>
  <si>
    <t>Ruel Calamba</t>
  </si>
  <si>
    <t>George Ahit</t>
  </si>
  <si>
    <t>Julito Vargas</t>
  </si>
  <si>
    <t>Jose Calamba</t>
  </si>
  <si>
    <t>Nueva Fuerza</t>
  </si>
  <si>
    <t>Ronnel Belentucas</t>
  </si>
  <si>
    <t>Randy Exclamador</t>
  </si>
  <si>
    <t>La Hacienda</t>
  </si>
  <si>
    <t>Nicanora Bongato</t>
  </si>
  <si>
    <r>
      <rPr>
        <sz val="11"/>
        <color theme="1"/>
        <rFont val="Calibri"/>
      </rPr>
      <t>Jeson Madri</t>
    </r>
    <r>
      <rPr>
        <sz val="11"/>
        <color theme="1"/>
        <rFont val="Calibri"/>
      </rPr>
      <t>ñan</t>
    </r>
  </si>
  <si>
    <t xml:space="preserve">La Hacienda </t>
  </si>
  <si>
    <t>Kenneth Lurot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</si>
  <si>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Basaca</t>
    </r>
  </si>
  <si>
    <t>Santiago Gador</t>
  </si>
  <si>
    <t>Tomonoy</t>
  </si>
  <si>
    <t>Moalboal</t>
  </si>
  <si>
    <t>Jessie Patacsil</t>
  </si>
  <si>
    <t>Isidro Arcales</t>
  </si>
  <si>
    <t>Reyno Activa</t>
  </si>
  <si>
    <t>Tubod</t>
  </si>
  <si>
    <t>Allan Curtillas</t>
  </si>
  <si>
    <t>Merlinda Cajetas</t>
  </si>
  <si>
    <t>Maribel Alipoyo</t>
  </si>
  <si>
    <t>Gerry Bernaldez</t>
  </si>
  <si>
    <t xml:space="preserve">San Isidro </t>
  </si>
  <si>
    <t>Dharrel Torres</t>
  </si>
  <si>
    <t>Mantalongon</t>
  </si>
  <si>
    <t>Arnel Lomod</t>
  </si>
  <si>
    <t>Jaime Pancho</t>
  </si>
  <si>
    <t>Jimmy Jaum</t>
  </si>
  <si>
    <t>Kauswagan Norte</t>
  </si>
  <si>
    <t>Michael Mondal</t>
  </si>
  <si>
    <t>Agapito Unajan Jr.</t>
  </si>
  <si>
    <r>
      <rPr>
        <sz val="11"/>
        <color theme="1"/>
        <rFont val="Calibri"/>
      </rPr>
      <t>Andrea Espa</t>
    </r>
    <r>
      <rPr>
        <sz val="11"/>
        <color theme="1"/>
        <rFont val="Calibri"/>
      </rPr>
      <t>ñol</t>
    </r>
  </si>
  <si>
    <t>Sua</t>
  </si>
  <si>
    <t>John Mark Tapales</t>
  </si>
  <si>
    <t>Charlie Divino</t>
  </si>
  <si>
    <t>Albert Maligro</t>
  </si>
  <si>
    <t>Quinobcoban</t>
  </si>
  <si>
    <t>Rustom Cabangbang</t>
  </si>
  <si>
    <t>Raymundo Cereligia</t>
  </si>
  <si>
    <t>Felix Torrentira</t>
  </si>
  <si>
    <t>Serapin Espanzo</t>
  </si>
  <si>
    <t>Lolita Ramos</t>
  </si>
  <si>
    <t>Mandaug</t>
  </si>
  <si>
    <t>Arnel Bentillo</t>
  </si>
  <si>
    <t>Loreto</t>
  </si>
  <si>
    <t>Cortes</t>
  </si>
  <si>
    <t>Aurelio Torregosa</t>
  </si>
  <si>
    <t xml:space="preserve">Sta. Fe </t>
  </si>
  <si>
    <t>Noel Aurit</t>
  </si>
  <si>
    <t>Jaime Dapar</t>
  </si>
  <si>
    <t>Simeon Saldum</t>
  </si>
  <si>
    <t>Bugang Sur</t>
  </si>
  <si>
    <t>Euberto Reyes</t>
  </si>
  <si>
    <t>Cabangahan</t>
  </si>
  <si>
    <t>Jay-El Japay</t>
  </si>
  <si>
    <t>Josephine Boncales</t>
  </si>
  <si>
    <t>Sto. Tomas</t>
  </si>
  <si>
    <t>Johnbell Ligoyligoy</t>
  </si>
  <si>
    <t>Gloria Cifra</t>
  </si>
  <si>
    <t>Pob. Norte</t>
  </si>
  <si>
    <t>Nelson Duavis</t>
  </si>
  <si>
    <t>Anonang</t>
  </si>
  <si>
    <r>
      <rPr>
        <sz val="11"/>
        <color theme="1"/>
        <rFont val="Calibri"/>
      </rPr>
      <t>Gilbert Ni</t>
    </r>
    <r>
      <rPr>
        <sz val="11"/>
        <color theme="1"/>
        <rFont val="Calibri"/>
      </rPr>
      <t>ñeza</t>
    </r>
  </si>
  <si>
    <t xml:space="preserve">San Jose </t>
  </si>
  <si>
    <r>
      <rPr>
        <sz val="11"/>
        <color theme="1"/>
        <rFont val="Calibri"/>
      </rPr>
      <t>Gilbert Ni</t>
    </r>
    <r>
      <rPr>
        <sz val="11"/>
        <color theme="1"/>
        <rFont val="Calibri"/>
      </rPr>
      <t>ñeza</t>
    </r>
  </si>
  <si>
    <t>Eduardo Balonos</t>
  </si>
  <si>
    <t>Bunacan</t>
  </si>
  <si>
    <t>Aldrin Llego</t>
  </si>
  <si>
    <t>Crescencio Arcana</t>
  </si>
  <si>
    <t>Pedro Valinto</t>
  </si>
  <si>
    <t>Jose Rey Gudez</t>
  </si>
  <si>
    <t>Ernesto Ancog</t>
  </si>
  <si>
    <t>Canang-caan</t>
  </si>
  <si>
    <t>Anna Marie Avenido</t>
  </si>
  <si>
    <t>La Union</t>
  </si>
  <si>
    <t>Raymond Abarquez</t>
  </si>
  <si>
    <t>Rodel Lumantao</t>
  </si>
  <si>
    <r>
      <rPr>
        <sz val="11"/>
        <color theme="1"/>
        <rFont val="Calibri"/>
      </rPr>
      <t>Czesar Aga Ni</t>
    </r>
    <r>
      <rPr>
        <sz val="11"/>
        <color theme="1"/>
        <rFont val="Calibri"/>
      </rPr>
      <t>ñofranco</t>
    </r>
  </si>
  <si>
    <t>Felicitas Deliman</t>
  </si>
  <si>
    <t>Wilmar Flores</t>
  </si>
  <si>
    <t>Jolly Meniez</t>
  </si>
  <si>
    <t>Liboron</t>
  </si>
  <si>
    <t>Geo Lauron</t>
  </si>
  <si>
    <t>Hibale</t>
  </si>
  <si>
    <t>Melquiades Balili</t>
  </si>
  <si>
    <t>Carlito Bulawan</t>
  </si>
  <si>
    <t>Caboy</t>
  </si>
  <si>
    <t>Junard Buntod</t>
  </si>
  <si>
    <t>Mary Jane Carnice</t>
  </si>
  <si>
    <t>Lucede Rejas</t>
  </si>
  <si>
    <t>Benedicto Centinales</t>
  </si>
  <si>
    <t>Banahaw</t>
  </si>
  <si>
    <t>Ruben Amarille</t>
  </si>
  <si>
    <t>Mataub</t>
  </si>
  <si>
    <t>Delio Gastanes</t>
  </si>
  <si>
    <t>El Progreso</t>
  </si>
  <si>
    <t>Zaldy Lozano</t>
  </si>
  <si>
    <t>Buntod</t>
  </si>
  <si>
    <t>Robert Taghoy</t>
  </si>
  <si>
    <t>Lonoy Roma</t>
  </si>
  <si>
    <t>Demetria Hilboro</t>
  </si>
  <si>
    <t>Roel Ampoloquio</t>
  </si>
  <si>
    <t>Jerry Srabosing</t>
  </si>
  <si>
    <t>Juagdan</t>
  </si>
  <si>
    <t>Chandler Chatto</t>
  </si>
  <si>
    <t>Gen. Climaco St</t>
  </si>
  <si>
    <t>Maricel Pacomios</t>
  </si>
  <si>
    <t>Magsaysay</t>
  </si>
  <si>
    <t>Dennis Dumanayos</t>
  </si>
  <si>
    <t>Jerry Pailanan</t>
  </si>
  <si>
    <t>Dario Degamo</t>
  </si>
  <si>
    <t>Carlos Bongaos</t>
  </si>
  <si>
    <t>Sammy Morales</t>
  </si>
  <si>
    <t>Yal Remperas</t>
  </si>
  <si>
    <t>Noel Mindoro</t>
  </si>
  <si>
    <t>Patrocinio</t>
  </si>
  <si>
    <t>Ma. Luz Sarte</t>
  </si>
  <si>
    <t>Arix Vistal</t>
  </si>
  <si>
    <r>
      <rPr>
        <sz val="11"/>
        <color theme="1"/>
        <rFont val="Calibri"/>
      </rPr>
      <t>Christian Acompa</t>
    </r>
    <r>
      <rPr>
        <sz val="11"/>
        <color theme="1"/>
        <rFont val="Calibri"/>
      </rPr>
      <t>ñado</t>
    </r>
  </si>
  <si>
    <r>
      <rPr>
        <sz val="11"/>
        <color theme="1"/>
        <rFont val="Calibri"/>
      </rPr>
      <t>Christian Acompa</t>
    </r>
    <r>
      <rPr>
        <sz val="11"/>
        <color theme="1"/>
        <rFont val="Calibri"/>
      </rPr>
      <t>ñado</t>
    </r>
  </si>
  <si>
    <t>Benjamin Macabudbud</t>
  </si>
  <si>
    <t>Cambacay</t>
  </si>
  <si>
    <t>Marilyn Menguillo</t>
  </si>
  <si>
    <t>Vicente Garcia</t>
  </si>
  <si>
    <t>Tandoy</t>
  </si>
  <si>
    <t>Clara Talara</t>
  </si>
  <si>
    <t>Lusog</t>
  </si>
  <si>
    <t>Felix Bitang</t>
  </si>
  <si>
    <t>Calubihan</t>
  </si>
  <si>
    <t>Jessie Rey Gudez</t>
  </si>
  <si>
    <t>Graciano Arellano</t>
  </si>
  <si>
    <t>Quirino Bautista</t>
  </si>
  <si>
    <t>Felipa Ombayan</t>
  </si>
  <si>
    <t>Elmer Nogalada</t>
  </si>
  <si>
    <t>Edcel Balio</t>
  </si>
  <si>
    <t>Villa Aurora</t>
  </si>
  <si>
    <t>Raymund Marabiles</t>
  </si>
  <si>
    <t>Meriam Estoque</t>
  </si>
  <si>
    <t>Claudith Flores</t>
  </si>
  <si>
    <t>Lamocan</t>
  </si>
  <si>
    <t>Argao</t>
  </si>
  <si>
    <t>Daisy Bigcal</t>
  </si>
  <si>
    <t>Pob. Sur</t>
  </si>
  <si>
    <t>Dennis Manliguez</t>
  </si>
  <si>
    <t>Cagayan</t>
  </si>
  <si>
    <t>Red Tilapia</t>
  </si>
  <si>
    <t>Lucia Tac-on</t>
  </si>
  <si>
    <t xml:space="preserve">Clarin </t>
  </si>
  <si>
    <t>Maricel Iman</t>
  </si>
  <si>
    <t>Lonoy</t>
  </si>
  <si>
    <t>Josephel Du-ao</t>
  </si>
  <si>
    <r>
      <rPr>
        <sz val="11"/>
        <color theme="1"/>
        <rFont val="Calibri"/>
      </rPr>
      <t>Ronila Ca</t>
    </r>
    <r>
      <rPr>
        <sz val="11"/>
        <color theme="1"/>
        <rFont val="Calibri"/>
      </rPr>
      <t>ñete</t>
    </r>
  </si>
  <si>
    <r>
      <rPr>
        <sz val="11"/>
        <color theme="1"/>
        <rFont val="Calibri"/>
      </rPr>
      <t>Ronila Ca</t>
    </r>
    <r>
      <rPr>
        <sz val="11"/>
        <color theme="1"/>
        <rFont val="Calibri"/>
      </rPr>
      <t>ñete</t>
    </r>
  </si>
  <si>
    <t>Denett Mulato</t>
  </si>
  <si>
    <t>Vincent Palapar</t>
  </si>
  <si>
    <t>Evangeline Ortiz</t>
  </si>
  <si>
    <t>Ilijan Sur</t>
  </si>
  <si>
    <t>Nemesio Alipoyo</t>
  </si>
  <si>
    <t>Fernando Virtudazo</t>
  </si>
  <si>
    <t>Danilo Bucar</t>
  </si>
  <si>
    <t>Guenevere Gumapac</t>
  </si>
  <si>
    <t>Joriecel Elecsion</t>
  </si>
  <si>
    <t>Rey Daguplo</t>
  </si>
  <si>
    <t>Bugsoc</t>
  </si>
  <si>
    <t>Vincent Cajes</t>
  </si>
  <si>
    <t>Ben Calacar</t>
  </si>
  <si>
    <t>Saturnino Babatuan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</si>
  <si>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>419,600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</si>
  <si>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71,680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</si>
  <si>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12,980 pcs.</t>
    </r>
  </si>
  <si>
    <r>
      <rPr>
        <sz val="9"/>
        <color theme="1"/>
        <rFont val="Arial"/>
      </rPr>
      <t xml:space="preserve">Ornamental Fish: </t>
    </r>
    <r>
      <rPr>
        <u/>
        <sz val="9"/>
        <color theme="1"/>
        <rFont val="Arial"/>
      </rPr>
      <t xml:space="preserve"> 468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</si>
  <si>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</si>
  <si>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</si>
  <si>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87,495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</si>
  <si>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16,850</t>
    </r>
  </si>
  <si>
    <t xml:space="preserve">                   March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</si>
  <si>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106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</si>
  <si>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83</t>
    </r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</si>
  <si>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23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</si>
  <si>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8</t>
    </r>
  </si>
  <si>
    <t>Agnes Gabuya</t>
  </si>
  <si>
    <t>La Victoria</t>
  </si>
  <si>
    <t>Sergio Boncales</t>
  </si>
  <si>
    <t>Nelson Dauvis</t>
  </si>
  <si>
    <t>Marvin Gumapac</t>
  </si>
  <si>
    <t>Vicente Mangmang</t>
  </si>
  <si>
    <t>Ann Curambao</t>
  </si>
  <si>
    <t>Rizal</t>
  </si>
  <si>
    <t>Marino Evardo</t>
  </si>
  <si>
    <t>Jeffrey Andrade</t>
  </si>
  <si>
    <t>Loy Consica</t>
  </si>
  <si>
    <t>Jerry Sarabosing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</si>
  <si>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Basaca</t>
    </r>
  </si>
  <si>
    <t>Janice Tapayan</t>
  </si>
  <si>
    <t>Jayson dela Concepcion</t>
  </si>
  <si>
    <t>Janius Anunciado</t>
  </si>
  <si>
    <t>Badiang</t>
  </si>
  <si>
    <t>Roland Pogoy</t>
  </si>
  <si>
    <t>Carl Angelo Alacre</t>
  </si>
  <si>
    <t>Joseph Kim Celmar</t>
  </si>
  <si>
    <t>Luciano Tante</t>
  </si>
  <si>
    <t>Melvin Jaum</t>
  </si>
  <si>
    <t>Mantacida</t>
  </si>
  <si>
    <t>Anecita Tumanda</t>
  </si>
  <si>
    <t>Marcelina Café</t>
  </si>
  <si>
    <t>Abachanan</t>
  </si>
  <si>
    <t>Wenn Rey Reserva</t>
  </si>
  <si>
    <t>Exuperto Gumpo-as</t>
  </si>
  <si>
    <t>Putlongcam</t>
  </si>
  <si>
    <t>Ulyses Galban</t>
  </si>
  <si>
    <t>Alfredo Hemagan</t>
  </si>
  <si>
    <t>Samuel Espenal</t>
  </si>
  <si>
    <t>Leomarie Lastimoso</t>
  </si>
  <si>
    <t>Barbara Klug</t>
  </si>
  <si>
    <t>Sandingan</t>
  </si>
  <si>
    <t>David Auxtero</t>
  </si>
  <si>
    <t>Dorol</t>
  </si>
  <si>
    <t>Jocelyn Cagatin</t>
  </si>
  <si>
    <t>Jerryco Penales</t>
  </si>
  <si>
    <t>Villa Garcia</t>
  </si>
  <si>
    <t>Marlon Cagas</t>
  </si>
  <si>
    <t xml:space="preserve">Danicop </t>
  </si>
  <si>
    <t>Rey Saldy Marimon</t>
  </si>
  <si>
    <t>Napo</t>
  </si>
  <si>
    <t>Lourdner Torrefiel</t>
  </si>
  <si>
    <t>San Pedro</t>
  </si>
  <si>
    <t>Rolando Betalmos</t>
  </si>
  <si>
    <t>Francisco Fernandez</t>
  </si>
  <si>
    <t>Bongbong</t>
  </si>
  <si>
    <t>Gaudioso Soliva</t>
  </si>
  <si>
    <t>Danahaw</t>
  </si>
  <si>
    <t>Jorge Aranas</t>
  </si>
  <si>
    <t>Melonie Baguio</t>
  </si>
  <si>
    <t>Garcia</t>
  </si>
  <si>
    <t>Roger Ajoc</t>
  </si>
  <si>
    <t>Richard Degamo</t>
  </si>
  <si>
    <t>Gejorisli Grado</t>
  </si>
  <si>
    <t>Rey Bayocot</t>
  </si>
  <si>
    <t>William Gamorot</t>
  </si>
  <si>
    <t>Tiguis</t>
  </si>
  <si>
    <t>Lila</t>
  </si>
  <si>
    <t>Crisologo Doria</t>
  </si>
  <si>
    <t>Jamaica Quino</t>
  </si>
  <si>
    <t>Jun Ombayan</t>
  </si>
  <si>
    <t>Cangmundo</t>
  </si>
  <si>
    <t>Domingo Lirio</t>
  </si>
  <si>
    <t>Carlito Cinco</t>
  </si>
  <si>
    <t>Behind the Clouds</t>
  </si>
  <si>
    <t>Cyril Logronio</t>
  </si>
  <si>
    <t>Fatima</t>
  </si>
  <si>
    <t>Aileen Genita</t>
  </si>
  <si>
    <t>Kawayanan</t>
  </si>
  <si>
    <t>Roldan Felisilda</t>
  </si>
  <si>
    <t>Teofila Batuan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</si>
  <si>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Basaca</t>
    </r>
  </si>
  <si>
    <t>Alejandro Lagrosa</t>
  </si>
  <si>
    <t>Elena Fonteras</t>
  </si>
  <si>
    <t>Panaytayon</t>
  </si>
  <si>
    <t>Cristy Burlace</t>
  </si>
  <si>
    <t>CPG</t>
  </si>
  <si>
    <t>Anie Lofranco</t>
  </si>
  <si>
    <t>Ondol</t>
  </si>
  <si>
    <t>Leonardo Bambe</t>
  </si>
  <si>
    <t xml:space="preserve">Campagao </t>
  </si>
  <si>
    <t>Jesson Bautista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</si>
  <si>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</si>
  <si>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Roel Ayuban</t>
  </si>
  <si>
    <t>Sto. Niño</t>
  </si>
  <si>
    <t>Mark Casol</t>
  </si>
  <si>
    <t>Edgar Gambe</t>
  </si>
  <si>
    <t>Kagawasan</t>
  </si>
  <si>
    <t>Alfonso Tagyan</t>
  </si>
  <si>
    <t>Meriam Avenido</t>
  </si>
  <si>
    <t>Tisa</t>
  </si>
  <si>
    <t>Edu Lomantas</t>
  </si>
  <si>
    <t>Rogelio Rabanes</t>
  </si>
  <si>
    <t>Edith Nielsen</t>
  </si>
  <si>
    <t>Eugene Ramos</t>
  </si>
  <si>
    <t>John Alnair Joriza</t>
  </si>
  <si>
    <t>Sergio Gamorot</t>
  </si>
  <si>
    <t xml:space="preserve">Taguis </t>
  </si>
  <si>
    <t>Resie Gamalo</t>
  </si>
  <si>
    <t>Inaghuban</t>
  </si>
  <si>
    <t>Agapito Garcera</t>
  </si>
  <si>
    <t>Daby Cantiveros</t>
  </si>
  <si>
    <t>Mervie Basmayor</t>
  </si>
  <si>
    <r>
      <rPr>
        <sz val="11"/>
        <color theme="1"/>
        <rFont val="Calibri"/>
      </rPr>
      <t>Albert Ni</t>
    </r>
    <r>
      <rPr>
        <sz val="11"/>
        <color theme="1"/>
        <rFont val="Calibri"/>
      </rPr>
      <t>ñofranco</t>
    </r>
  </si>
  <si>
    <t>Emalyn Balino</t>
  </si>
  <si>
    <t>Joe Arat</t>
  </si>
  <si>
    <t>Lalaine Huit</t>
  </si>
  <si>
    <t>Jay-el Japay</t>
  </si>
  <si>
    <t>Gregg Puerin</t>
  </si>
  <si>
    <t>Jonathan Alipoyo</t>
  </si>
  <si>
    <t>Elma Mangaron</t>
  </si>
  <si>
    <t>Montevideo</t>
  </si>
  <si>
    <t>Merlene Suerto</t>
  </si>
  <si>
    <t>Pacomio Boligao</t>
  </si>
  <si>
    <t>Pinayagan</t>
  </si>
  <si>
    <t>Archemoore Ceniza</t>
  </si>
  <si>
    <t>Roldan Botoy</t>
  </si>
  <si>
    <t>Teofanes Paquibot</t>
  </si>
  <si>
    <t>Randy Comendador</t>
  </si>
  <si>
    <t>Nelson Siarot</t>
  </si>
  <si>
    <t>Lapacan Norte</t>
  </si>
  <si>
    <t>Ma. Elmera Aliviado</t>
  </si>
  <si>
    <t xml:space="preserve">Kimba </t>
  </si>
  <si>
    <t>Talisay City</t>
  </si>
  <si>
    <t>Rez Jemes Bongato</t>
  </si>
  <si>
    <t>Jun Huit</t>
  </si>
  <si>
    <t>Ervinne Mencede</t>
  </si>
  <si>
    <t>Tambook</t>
  </si>
  <si>
    <t>Bugsok</t>
  </si>
  <si>
    <t>Gaudioso Celmar</t>
  </si>
  <si>
    <t>James Romar Cruz</t>
  </si>
  <si>
    <t>Rosalie Petallar</t>
  </si>
  <si>
    <t>Jeanito Ranas</t>
  </si>
  <si>
    <t>Danilo Logronio</t>
  </si>
  <si>
    <t>Sergio Inferido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</si>
  <si>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>252,300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</si>
  <si>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84,100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</si>
  <si>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11,040 pcs.</t>
    </r>
  </si>
  <si>
    <r>
      <rPr>
        <sz val="9"/>
        <color theme="1"/>
        <rFont val="Arial"/>
      </rPr>
      <t xml:space="preserve">Ornamental Fish: </t>
    </r>
    <r>
      <rPr>
        <u/>
        <sz val="9"/>
        <color theme="1"/>
        <rFont val="Arial"/>
      </rPr>
      <t xml:space="preserve"> 1,982 pcs.</t>
    </r>
  </si>
  <si>
    <t>Executive Assistant Under the Office of the Regional Director</t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</si>
  <si>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</si>
  <si>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</si>
  <si>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37,390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</si>
  <si>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8,200</t>
    </r>
  </si>
  <si>
    <t xml:space="preserve">                   April,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</si>
  <si>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169</t>
    </r>
  </si>
  <si>
    <r>
      <rPr>
        <sz val="10"/>
        <color theme="1"/>
        <rFont val="Arial"/>
      </rPr>
      <t>Male:</t>
    </r>
    <r>
      <rPr>
        <u/>
        <sz val="10"/>
        <color theme="1"/>
        <rFont val="Arial"/>
      </rPr>
      <t xml:space="preserve"> 131</t>
    </r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</si>
  <si>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38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</si>
  <si>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15</t>
    </r>
  </si>
  <si>
    <t>Marr John Ortiz</t>
  </si>
  <si>
    <t>Ilijan</t>
  </si>
  <si>
    <t>Adriano Alcoser</t>
  </si>
  <si>
    <r>
      <rPr>
        <sz val="11"/>
        <color theme="1"/>
        <rFont val="Calibri"/>
      </rPr>
      <t>John Lloyd Ca</t>
    </r>
    <r>
      <rPr>
        <sz val="11"/>
        <color theme="1"/>
        <rFont val="Calibri"/>
      </rPr>
      <t>ñete</t>
    </r>
  </si>
  <si>
    <t>Giselle Bagnol</t>
  </si>
  <si>
    <t>Bobong Reserva</t>
  </si>
  <si>
    <t>Richard John Berdin</t>
  </si>
  <si>
    <t>Richard Itallo</t>
  </si>
  <si>
    <t>Virgilio Daro</t>
  </si>
  <si>
    <t>Crisanto Cano</t>
  </si>
  <si>
    <r>
      <rPr>
        <sz val="11"/>
        <color theme="1"/>
        <rFont val="Calibri"/>
      </rPr>
      <t>Aiza Mi</t>
    </r>
    <r>
      <rPr>
        <sz val="11"/>
        <color theme="1"/>
        <rFont val="Calibri"/>
      </rPr>
      <t>ñoza</t>
    </r>
  </si>
  <si>
    <t>Tamblot St.</t>
  </si>
  <si>
    <r>
      <rPr>
        <sz val="11"/>
        <color theme="1"/>
        <rFont val="Calibri"/>
      </rPr>
      <t>Aiza Mi</t>
    </r>
    <r>
      <rPr>
        <sz val="11"/>
        <color theme="1"/>
        <rFont val="Calibri"/>
      </rPr>
      <t>ñoza</t>
    </r>
  </si>
  <si>
    <t>Socrates Reyes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</si>
  <si>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Basaca</t>
    </r>
  </si>
  <si>
    <t>CPG. North Ave.</t>
  </si>
  <si>
    <t>Elizabeth Albialde</t>
  </si>
  <si>
    <t>James Romel Cruz</t>
  </si>
  <si>
    <t>Delfin Lood</t>
  </si>
  <si>
    <t>Dharyl Bocar</t>
  </si>
  <si>
    <t>Allan Vallente</t>
  </si>
  <si>
    <t>Dagnawan</t>
  </si>
  <si>
    <t>Guifel Mar Bongato</t>
  </si>
  <si>
    <t>Shiela Caminos</t>
  </si>
  <si>
    <t>Jonathan Vistal</t>
  </si>
  <si>
    <t>Albert Esoy</t>
  </si>
  <si>
    <t>Canlangit</t>
  </si>
  <si>
    <t>Jesus Bautista</t>
  </si>
  <si>
    <t>Japhit Bongato</t>
  </si>
  <si>
    <t>Allan Bautista</t>
  </si>
  <si>
    <t>Benedicto Duterte</t>
  </si>
  <si>
    <t>Reynaldo Alison</t>
  </si>
  <si>
    <t>Meting Candado</t>
  </si>
  <si>
    <t>Cambitoon</t>
  </si>
  <si>
    <t>Renato Carnice</t>
  </si>
  <si>
    <t>Arnel Diaz</t>
  </si>
  <si>
    <t>Donato Alboroto</t>
  </si>
  <si>
    <t>Jaime Burbano</t>
  </si>
  <si>
    <t>Ananias Lofranco</t>
  </si>
  <si>
    <t>Lui Corsica</t>
  </si>
  <si>
    <t>Timoteo Vivas</t>
  </si>
  <si>
    <t>Edgar Agang</t>
  </si>
  <si>
    <t>Hinlayagan</t>
  </si>
  <si>
    <t>Bong Reserva</t>
  </si>
  <si>
    <t>Rolando ore</t>
  </si>
  <si>
    <t>Rosendo Salo</t>
  </si>
  <si>
    <t>Eric Nuez</t>
  </si>
  <si>
    <t>Baltazar Fernandez</t>
  </si>
  <si>
    <t>Pooc. Occidental</t>
  </si>
  <si>
    <t>Fanny Torregosa</t>
  </si>
  <si>
    <t>CPG North Ave.</t>
  </si>
  <si>
    <t>Allen Ian Orcullo</t>
  </si>
  <si>
    <t>Crisinciano Torreon</t>
  </si>
  <si>
    <t>Meriam Estorque</t>
  </si>
  <si>
    <t>Felix Polinar</t>
  </si>
  <si>
    <t>Manuel Morales</t>
  </si>
  <si>
    <t>Rizalita Burbano</t>
  </si>
  <si>
    <t>Anabelle Degamon</t>
  </si>
  <si>
    <t>Tagubaas</t>
  </si>
  <si>
    <t>Jessie Sagaral</t>
  </si>
  <si>
    <t>Kawayan</t>
  </si>
  <si>
    <t>Victoria Durante</t>
  </si>
  <si>
    <t>Geroberto Beniga</t>
  </si>
  <si>
    <t>Rodelo Orevillo</t>
  </si>
  <si>
    <t>Hagbuyo</t>
  </si>
  <si>
    <t>Grace Go</t>
  </si>
  <si>
    <t>Mandaue City</t>
  </si>
  <si>
    <t>Rey Agura</t>
  </si>
  <si>
    <t>Calingohan</t>
  </si>
  <si>
    <t>Lope Pagas</t>
  </si>
  <si>
    <t>Leah Dacua</t>
  </si>
  <si>
    <t>Frederick Amarille</t>
  </si>
  <si>
    <t>Bonbon</t>
  </si>
  <si>
    <t>Marvin Suello</t>
  </si>
  <si>
    <t>John Aldren Diaz</t>
  </si>
  <si>
    <t>Eusebio Manatad</t>
  </si>
  <si>
    <t>Bonifacia Acdal</t>
  </si>
  <si>
    <t>Cerilino Evarreta</t>
  </si>
  <si>
    <t>Jerold Dumay</t>
  </si>
  <si>
    <r>
      <rPr>
        <sz val="11"/>
        <color theme="1"/>
        <rFont val="Calibri"/>
      </rPr>
      <t>Kuwatro Se</t>
    </r>
    <r>
      <rPr>
        <sz val="11"/>
        <color theme="1"/>
        <rFont val="Calibri"/>
      </rPr>
      <t>ño</t>
    </r>
  </si>
  <si>
    <t>Alberto Baluca</t>
  </si>
  <si>
    <t>Rolando Avergonzado</t>
  </si>
  <si>
    <t>Windel Laurden</t>
  </si>
  <si>
    <t>Bentig</t>
  </si>
  <si>
    <t>Dave John Stephen Taguinis</t>
  </si>
  <si>
    <t>Marlon Manla</t>
  </si>
  <si>
    <t>Joseph Gara</t>
  </si>
  <si>
    <t>Nory Dapar</t>
  </si>
  <si>
    <t>Haguilanan</t>
  </si>
  <si>
    <t>Jan Dolera</t>
  </si>
  <si>
    <t>Luciano Cellan</t>
  </si>
  <si>
    <t>Judita Gujilde</t>
  </si>
  <si>
    <t>Magtongtong</t>
  </si>
  <si>
    <t>Pangangan</t>
  </si>
  <si>
    <t>Red tilapia</t>
  </si>
  <si>
    <t>Marlito Genita</t>
  </si>
  <si>
    <t>Christopher Madaje</t>
  </si>
  <si>
    <t>Alexander Lumagod</t>
  </si>
  <si>
    <t>Marino Montojo</t>
  </si>
  <si>
    <t>Bel Christian Vistal</t>
  </si>
  <si>
    <t>U-og</t>
  </si>
  <si>
    <t>Robert Suello</t>
  </si>
  <si>
    <t>Alexis Rosolada</t>
  </si>
  <si>
    <t>Balintawak</t>
  </si>
  <si>
    <t>Loverly Litub</t>
  </si>
  <si>
    <t>Roberto Bono</t>
  </si>
  <si>
    <t>Juditho Sevellita</t>
  </si>
  <si>
    <t>Marites dela Cruz</t>
  </si>
  <si>
    <t>100 kls</t>
  </si>
  <si>
    <t>Jaime Jumawan</t>
  </si>
  <si>
    <t>Adrian Cerro</t>
  </si>
  <si>
    <t>Tiptip</t>
  </si>
  <si>
    <t>Alexander Alegarbes</t>
  </si>
  <si>
    <t>Renerio Baliling</t>
  </si>
  <si>
    <t>Faith Marie Leornas</t>
  </si>
  <si>
    <t>Jan Noel Dolera</t>
  </si>
  <si>
    <t>Raul Tiongosn</t>
  </si>
  <si>
    <t>Mark Jocel Ombajin</t>
  </si>
  <si>
    <t>Tito Palma</t>
  </si>
  <si>
    <t>Tinangnan</t>
  </si>
  <si>
    <t>Jonathan Tecson</t>
  </si>
  <si>
    <t>Zaldy Marimon</t>
  </si>
  <si>
    <t>Susan Niepes</t>
  </si>
  <si>
    <t>10 kls</t>
  </si>
  <si>
    <t>Pedro Valentos</t>
  </si>
  <si>
    <t>Roberto Buno</t>
  </si>
  <si>
    <t>Rudy Pantollana</t>
  </si>
  <si>
    <t>20 kls</t>
  </si>
  <si>
    <t>Edgar Sarabosing</t>
  </si>
  <si>
    <t>80 kls</t>
  </si>
  <si>
    <t>Mely Cadoydoy</t>
  </si>
  <si>
    <t>30 kls</t>
  </si>
  <si>
    <t>Anastasia Nazareno</t>
  </si>
  <si>
    <t>162 kls</t>
  </si>
  <si>
    <t>Fe Bonajos</t>
  </si>
  <si>
    <t>3 kls</t>
  </si>
  <si>
    <t>Jurivic Ando</t>
  </si>
  <si>
    <t>4 kls</t>
  </si>
  <si>
    <t>Jeffrey Abcede</t>
  </si>
  <si>
    <t>2 kls.</t>
  </si>
  <si>
    <r>
      <rPr>
        <sz val="11"/>
        <color theme="1"/>
        <rFont val="Calibri"/>
      </rPr>
      <t>Barcley Pa</t>
    </r>
    <r>
      <rPr>
        <sz val="11"/>
        <color theme="1"/>
        <rFont val="Calibri"/>
      </rPr>
      <t>ña</t>
    </r>
  </si>
  <si>
    <t>Joper Jay Degamo</t>
  </si>
  <si>
    <t>Joven Hilot</t>
  </si>
  <si>
    <r>
      <rPr>
        <sz val="11"/>
        <color theme="1"/>
        <rFont val="Calibri"/>
      </rPr>
      <t>Cezar Aga Ni</t>
    </r>
    <r>
      <rPr>
        <sz val="11"/>
        <color theme="1"/>
        <rFont val="Calibri"/>
      </rPr>
      <t>ñofranco</t>
    </r>
  </si>
  <si>
    <r>
      <rPr>
        <sz val="11"/>
        <color theme="1"/>
        <rFont val="Calibri"/>
      </rPr>
      <t>Cezar Aga Ni</t>
    </r>
    <r>
      <rPr>
        <sz val="11"/>
        <color theme="1"/>
        <rFont val="Calibri"/>
      </rPr>
      <t>ñofranco</t>
    </r>
  </si>
  <si>
    <t>Eduardo Busalanan</t>
  </si>
  <si>
    <t>Eufemio Ayenza</t>
  </si>
  <si>
    <t>Ma. Nova Mae Gucor</t>
  </si>
  <si>
    <t>Jomel Bulilis</t>
  </si>
  <si>
    <t xml:space="preserve">Pandan </t>
  </si>
  <si>
    <r>
      <rPr>
        <sz val="11"/>
        <color theme="1"/>
        <rFont val="Calibri"/>
      </rPr>
      <t>Marvin A</t>
    </r>
    <r>
      <rPr>
        <sz val="11"/>
        <color theme="1"/>
        <rFont val="Calibri"/>
      </rPr>
      <t>ñana</t>
    </r>
  </si>
  <si>
    <t>Ritchie Caintoy</t>
  </si>
  <si>
    <t>Ramon Pagaran</t>
  </si>
  <si>
    <t>Pasong</t>
  </si>
  <si>
    <t>Jonathan Avelino</t>
  </si>
  <si>
    <t>Jovencio Olaivar</t>
  </si>
  <si>
    <t>Allan Bantillan</t>
  </si>
  <si>
    <t>Jomar Lofranco</t>
  </si>
  <si>
    <t>Jina Boligao</t>
  </si>
  <si>
    <t>Jesralyn  Lacaba</t>
  </si>
  <si>
    <t>Oliver Turtoga</t>
  </si>
  <si>
    <t>Eric John Orfano</t>
  </si>
  <si>
    <t>Pinayagan Norte</t>
  </si>
  <si>
    <t>Leonardo Batausa</t>
  </si>
  <si>
    <t>Estrella Lucero</t>
  </si>
  <si>
    <t>Hillside</t>
  </si>
  <si>
    <t>Angel Christine Amodia</t>
  </si>
  <si>
    <t>Edgardo Tuazon Sr.</t>
  </si>
  <si>
    <t>Patrocenio</t>
  </si>
  <si>
    <t>Anna Paeste</t>
  </si>
  <si>
    <t>Pandan</t>
  </si>
  <si>
    <t>Romulo Cayacay</t>
  </si>
  <si>
    <t>Johndel Esoy</t>
  </si>
  <si>
    <t>Belinda Carcueva</t>
  </si>
  <si>
    <t>Melencio Escabusa</t>
  </si>
  <si>
    <t>Lombog</t>
  </si>
  <si>
    <t>Alfredo Datahan</t>
  </si>
  <si>
    <t>Ricardo Escabusa</t>
  </si>
  <si>
    <t>Acita Gulay</t>
  </si>
  <si>
    <t>Jacinto Bersabal</t>
  </si>
  <si>
    <t>Jannette Socobos</t>
  </si>
  <si>
    <t>Taming</t>
  </si>
  <si>
    <t>Mitchellene Daling</t>
  </si>
  <si>
    <t>Beboy Enriquez</t>
  </si>
  <si>
    <t>Julieta Dapar</t>
  </si>
  <si>
    <t>Lobgob</t>
  </si>
  <si>
    <r>
      <rPr>
        <sz val="11"/>
        <color theme="1"/>
        <rFont val="Calibri"/>
      </rPr>
      <t>Robert Ca</t>
    </r>
    <r>
      <rPr>
        <sz val="11"/>
        <color theme="1"/>
        <rFont val="Calibri"/>
      </rPr>
      <t>ñete</t>
    </r>
  </si>
  <si>
    <t>Taciana Sambayan</t>
  </si>
  <si>
    <t>Jerry Tungal</t>
  </si>
  <si>
    <t>Mabuhay</t>
  </si>
  <si>
    <t>Jerry Tagsip</t>
  </si>
  <si>
    <t>Alvin Alleluya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</si>
  <si>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>268,600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</si>
  <si>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16,600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</si>
  <si>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 xml:space="preserve"> 1,400 pcs.</t>
    </r>
  </si>
  <si>
    <r>
      <rPr>
        <sz val="9"/>
        <color theme="1"/>
        <rFont val="Arial"/>
      </rPr>
      <t>Ornamental Fish:</t>
    </r>
    <r>
      <rPr>
        <u/>
        <sz val="9"/>
        <color theme="1"/>
        <rFont val="Arial"/>
      </rPr>
      <t xml:space="preserve"> 3,937 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</si>
  <si>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</si>
  <si>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</si>
  <si>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99,835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</si>
  <si>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2,900</t>
    </r>
  </si>
  <si>
    <t xml:space="preserve">            May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</si>
  <si>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147</t>
    </r>
  </si>
  <si>
    <t>Male: 118</t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</si>
  <si>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29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</si>
  <si>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14</t>
    </r>
  </si>
  <si>
    <t>Aquino Jumawid</t>
  </si>
  <si>
    <t>Bicao</t>
  </si>
  <si>
    <t>Noel Dolera</t>
  </si>
  <si>
    <t>Reyzan Placibe</t>
  </si>
  <si>
    <t>Smirna Pacaldo</t>
  </si>
  <si>
    <t>Comaang</t>
  </si>
  <si>
    <t>John Borge Sayson</t>
  </si>
  <si>
    <t>Domingo Cabug-os</t>
  </si>
  <si>
    <r>
      <rPr>
        <sz val="11"/>
        <color theme="1"/>
        <rFont val="Calibri"/>
      </rPr>
      <t>Reljean Oma</t>
    </r>
    <r>
      <rPr>
        <sz val="11"/>
        <color theme="1"/>
        <rFont val="Calibri"/>
      </rPr>
      <t>ña</t>
    </r>
  </si>
  <si>
    <t>Freddie Caballero</t>
  </si>
  <si>
    <t>Lilia Sambayon</t>
  </si>
  <si>
    <t>Asher Sentillas</t>
  </si>
  <si>
    <t>Norma Requierme</t>
  </si>
  <si>
    <t>Christine Almero</t>
  </si>
  <si>
    <t>Loyd Petecio</t>
  </si>
  <si>
    <t>Boybet Alasagas</t>
  </si>
  <si>
    <t>Paulino Cagatin</t>
  </si>
  <si>
    <t>RR Rulona</t>
  </si>
  <si>
    <t>Abucayan Norte</t>
  </si>
  <si>
    <t>Braulo Maning</t>
  </si>
  <si>
    <t>Lyndon Mier</t>
  </si>
  <si>
    <t>Jones Avenue</t>
  </si>
  <si>
    <t>Juanito Bacolot</t>
  </si>
  <si>
    <t>Libertad</t>
  </si>
  <si>
    <t>Ronel Buscato</t>
  </si>
  <si>
    <t>Jesson Dumandan</t>
  </si>
  <si>
    <t>Mario Baguio</t>
  </si>
  <si>
    <t>Ranel Rendon</t>
  </si>
  <si>
    <t>Junrey Requierme</t>
  </si>
  <si>
    <t>Lomboy</t>
  </si>
  <si>
    <t>Cesar Ortega</t>
  </si>
  <si>
    <t>Panghagban</t>
  </si>
  <si>
    <t>Ma. Luz Alisaca</t>
  </si>
  <si>
    <t>Guillermo Matunhay</t>
  </si>
  <si>
    <t>LJ Suarez</t>
  </si>
  <si>
    <t>Liloan Sur</t>
  </si>
  <si>
    <t>Gina Rendon</t>
  </si>
  <si>
    <t>Gilbert Budiongan</t>
  </si>
  <si>
    <t>Ronie Coscos</t>
  </si>
  <si>
    <t>Raffy Vedra</t>
  </si>
  <si>
    <t>Ivy Celocia</t>
  </si>
  <si>
    <t>Hunan</t>
  </si>
  <si>
    <t>Joy Lamoste</t>
  </si>
  <si>
    <t>Geretz Val Remperas</t>
  </si>
  <si>
    <t>Mergie Laurden</t>
  </si>
  <si>
    <t>Culled tilapia</t>
  </si>
  <si>
    <t>7 kls. @80.00</t>
  </si>
  <si>
    <r>
      <rPr>
        <sz val="11"/>
        <color theme="1"/>
        <rFont val="Calibri"/>
      </rPr>
      <t>Sarah Jean Va</t>
    </r>
    <r>
      <rPr>
        <sz val="11"/>
        <color theme="1"/>
        <rFont val="Calibri"/>
      </rPr>
      <t>ño</t>
    </r>
  </si>
  <si>
    <t>Elpedito Jummar Jumao-as</t>
  </si>
  <si>
    <t>Ricardo Descallar</t>
  </si>
  <si>
    <t>Cayetano Divino</t>
  </si>
  <si>
    <t>Bob Linogao</t>
  </si>
  <si>
    <t>Tito Linogao</t>
  </si>
  <si>
    <t>Editha Nadala</t>
  </si>
  <si>
    <t>Aljon Agad</t>
  </si>
  <si>
    <t>Marcos Tagsip</t>
  </si>
  <si>
    <t>Erlinda Egcol</t>
  </si>
  <si>
    <t>Janlud</t>
  </si>
  <si>
    <t>Floreven Saan</t>
  </si>
  <si>
    <t>Raffy Ortillano</t>
  </si>
  <si>
    <t>Antonio Fabular</t>
  </si>
  <si>
    <t>Singson Subd.</t>
  </si>
  <si>
    <t>Campanga</t>
  </si>
  <si>
    <t>Kwinlie Celis</t>
  </si>
  <si>
    <t>Kevin Estillore</t>
  </si>
  <si>
    <t>Biboy  Enriquez</t>
  </si>
  <si>
    <t>Jord Ben Rinconada</t>
  </si>
  <si>
    <t>Genomoan</t>
  </si>
  <si>
    <t>Vivian Barrete</t>
  </si>
  <si>
    <t>Dennis Dolotina</t>
  </si>
  <si>
    <t>Felipa Maldora</t>
  </si>
  <si>
    <t>Jacinto Socorin</t>
  </si>
  <si>
    <t>Cesario Suete</t>
  </si>
  <si>
    <t>Dennis Gabriel Carungay</t>
  </si>
  <si>
    <t>Canmaya Centro</t>
  </si>
  <si>
    <t>Jose Ohina</t>
  </si>
  <si>
    <t>Casto Anino</t>
  </si>
  <si>
    <t>Camaya-an</t>
  </si>
  <si>
    <t>Romeo Sarmiento</t>
  </si>
  <si>
    <t>Pooc Oriental</t>
  </si>
  <si>
    <t>Jay-Ann Asombrado</t>
  </si>
  <si>
    <t>Marden Gapas</t>
  </si>
  <si>
    <t>Romualdo Gandufes</t>
  </si>
  <si>
    <t>Reynaldo Fullero</t>
  </si>
  <si>
    <t>Rogelio Jagutin</t>
  </si>
  <si>
    <t>Jeffrey Betty</t>
  </si>
  <si>
    <r>
      <rPr>
        <sz val="11"/>
        <color theme="1"/>
        <rFont val="Calibri"/>
      </rPr>
      <t>Pedro Da</t>
    </r>
    <r>
      <rPr>
        <sz val="11"/>
        <color theme="1"/>
        <rFont val="Calibri"/>
      </rPr>
      <t>ñe</t>
    </r>
  </si>
  <si>
    <t>Oliver Butron</t>
  </si>
  <si>
    <t>Nena Butron</t>
  </si>
  <si>
    <t>Allan Abenita</t>
  </si>
  <si>
    <t>Rey Ruyeras</t>
  </si>
  <si>
    <t>Lumbang</t>
  </si>
  <si>
    <t>Emilio Lanoy Jr.</t>
  </si>
  <si>
    <t>Ariel Siray</t>
  </si>
  <si>
    <t>Ranulfo Tabada</t>
  </si>
  <si>
    <t>Rodelito Socong</t>
  </si>
  <si>
    <t>Bruno Vedra</t>
  </si>
  <si>
    <t>Eduardo Icawalo</t>
  </si>
  <si>
    <t>Anna Liza Villamejor</t>
  </si>
  <si>
    <t>Ernesto Naquila</t>
  </si>
  <si>
    <t>Lydia Calderon</t>
  </si>
  <si>
    <t>AJ Catubag</t>
  </si>
  <si>
    <t>Janu James Asas</t>
  </si>
  <si>
    <t>Thelma Nazareno</t>
  </si>
  <si>
    <r>
      <rPr>
        <sz val="11"/>
        <color theme="1"/>
        <rFont val="Calibri"/>
      </rPr>
      <t>Eulo A</t>
    </r>
    <r>
      <rPr>
        <sz val="11"/>
        <color theme="1"/>
        <rFont val="Calibri"/>
      </rPr>
      <t>ñana</t>
    </r>
  </si>
  <si>
    <t>Soom</t>
  </si>
  <si>
    <t>Jason Auxtero</t>
  </si>
  <si>
    <t>Elizabeth Bonajos</t>
  </si>
  <si>
    <t>Enrique Baldapan</t>
  </si>
  <si>
    <t>Jacinto Baldapan</t>
  </si>
  <si>
    <t>Marcelino Baldapan</t>
  </si>
  <si>
    <t>Joel Rizon</t>
  </si>
  <si>
    <t>Maria Tac-on</t>
  </si>
  <si>
    <t>Jake Arianne Anub</t>
  </si>
  <si>
    <t>Bugang Norte</t>
  </si>
  <si>
    <t>Elpedio Estorya</t>
  </si>
  <si>
    <t>Felix Celestra</t>
  </si>
  <si>
    <t>Cerila Ceniza</t>
  </si>
  <si>
    <t>Rey Indiana</t>
  </si>
  <si>
    <t>Jay-Ar Sarmento</t>
  </si>
  <si>
    <t>Ponciano Briguas</t>
  </si>
  <si>
    <t>Bogo City</t>
  </si>
  <si>
    <t>Elizabeth Birlaos</t>
  </si>
  <si>
    <t>Julio Sequiña</t>
  </si>
  <si>
    <t xml:space="preserve">Triple Union </t>
  </si>
  <si>
    <t>Cardo Carpentero</t>
  </si>
  <si>
    <t>Kang-Iras</t>
  </si>
  <si>
    <t>Renato Carpentero</t>
  </si>
  <si>
    <t>Marciano Jaum</t>
  </si>
  <si>
    <t xml:space="preserve">Mitch Danu </t>
  </si>
  <si>
    <t>Renierio Remoreras</t>
  </si>
  <si>
    <t>Rodrigo Miyao</t>
  </si>
  <si>
    <t>Cristito Garcia</t>
  </si>
  <si>
    <t>Armando Matunhay</t>
  </si>
  <si>
    <t>Apolo Tirol</t>
  </si>
  <si>
    <t>Resy Gonzales</t>
  </si>
  <si>
    <t>Romeo Bonajos</t>
  </si>
  <si>
    <t>Ricardo Tinahura</t>
  </si>
  <si>
    <t>Gerardo Hare</t>
  </si>
  <si>
    <t>Lapaz</t>
  </si>
  <si>
    <t>Samuel Rebosura</t>
  </si>
  <si>
    <t>Addo Jaspe</t>
  </si>
  <si>
    <t>Leonardo Katalbas</t>
  </si>
  <si>
    <t>Lico Lico</t>
  </si>
  <si>
    <t>Helen Sale</t>
  </si>
  <si>
    <t>Lenon Baguio</t>
  </si>
  <si>
    <t>Silvestre Caunag</t>
  </si>
  <si>
    <t xml:space="preserve">Cagawasan </t>
  </si>
  <si>
    <t>Roel Lucero</t>
  </si>
  <si>
    <t>Manuel Feliciados</t>
  </si>
  <si>
    <t>Teodoro Quilag</t>
  </si>
  <si>
    <t>Roger Abaniel</t>
  </si>
  <si>
    <t>Loida Rasonabe</t>
  </si>
  <si>
    <t>Candungao</t>
  </si>
  <si>
    <t>Delia Sanchez</t>
  </si>
  <si>
    <t>Mitch Danu</t>
  </si>
  <si>
    <t>Ranulfo Tongco</t>
  </si>
  <si>
    <t>Jimbo Paquibot</t>
  </si>
  <si>
    <t>Neil Navarro</t>
  </si>
  <si>
    <t>Ricky Matunhay</t>
  </si>
  <si>
    <t>Rey Evangelista</t>
  </si>
  <si>
    <t>Jennifer Ramada</t>
  </si>
  <si>
    <t>Hermes Decasa</t>
  </si>
  <si>
    <t>Cantigdas</t>
  </si>
  <si>
    <t>Elpedio Jumao-as</t>
  </si>
  <si>
    <t>Mary Magdalen Calipes</t>
  </si>
  <si>
    <t>Nora Cenabre</t>
  </si>
  <si>
    <t>Florencio Aparicio</t>
  </si>
  <si>
    <t>Jemanthon Amanduron</t>
  </si>
  <si>
    <t>Roman Baron</t>
  </si>
  <si>
    <t>Junrey Ocoy</t>
  </si>
  <si>
    <t>Emedio Magsayo</t>
  </si>
  <si>
    <t>Rodrigo Sambayon</t>
  </si>
  <si>
    <t>Nelson ingente</t>
  </si>
  <si>
    <t>Leomilyn Jamil</t>
  </si>
  <si>
    <t>Diosdado Reyes</t>
  </si>
  <si>
    <t>Bulilis</t>
  </si>
  <si>
    <t>Felicisimo Mendez</t>
  </si>
  <si>
    <t>Teodoro Tubac</t>
  </si>
  <si>
    <t>Tabalong</t>
  </si>
  <si>
    <t>Arnel Maghari</t>
  </si>
  <si>
    <t>Lapu-Lapu City</t>
  </si>
  <si>
    <t>Roger Aparre</t>
  </si>
  <si>
    <t>Roel Ajoc</t>
  </si>
  <si>
    <t>Allan Banante</t>
  </si>
  <si>
    <t>Ma. Liza Nuez</t>
  </si>
  <si>
    <r>
      <rPr>
        <sz val="11"/>
        <color theme="1"/>
        <rFont val="Calibri"/>
      </rPr>
      <t>Marites Logro</t>
    </r>
    <r>
      <rPr>
        <sz val="11"/>
        <color theme="1"/>
        <rFont val="Calibri"/>
      </rPr>
      <t>ño</t>
    </r>
  </si>
  <si>
    <r>
      <rPr>
        <sz val="11"/>
        <color theme="1"/>
        <rFont val="Calibri"/>
      </rPr>
      <t>Roberto Ca</t>
    </r>
    <r>
      <rPr>
        <sz val="11"/>
        <color theme="1"/>
        <rFont val="Calibri"/>
      </rPr>
      <t>ñete</t>
    </r>
  </si>
  <si>
    <t>Benjamin Torrentira</t>
  </si>
  <si>
    <t>Joven Laolao</t>
  </si>
  <si>
    <t>Domingo Lebrilla</t>
  </si>
  <si>
    <t>Juvimar Malubay</t>
  </si>
  <si>
    <r>
      <rPr>
        <sz val="9"/>
        <color theme="1"/>
        <rFont val="Arial"/>
      </rPr>
      <t xml:space="preserve">Direct Client: 339,280 </t>
    </r>
    <r>
      <rPr>
        <u/>
        <sz val="9"/>
        <color theme="1"/>
        <rFont val="Arial"/>
      </rPr>
      <t>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</si>
  <si>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27,950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</si>
  <si>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1,250pcs.</t>
    </r>
  </si>
  <si>
    <r>
      <rPr>
        <sz val="9"/>
        <color theme="1"/>
        <rFont val="Arial"/>
      </rPr>
      <t>Ornamental Fish: 2,000</t>
    </r>
    <r>
      <rPr>
        <u/>
        <sz val="9"/>
        <color theme="1"/>
        <rFont val="Arial"/>
      </rPr>
      <t xml:space="preserve">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</si>
  <si>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</si>
  <si>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</si>
  <si>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t xml:space="preserve">  Freshwater: 98,083</t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</si>
  <si>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6,000</t>
    </r>
  </si>
  <si>
    <t xml:space="preserve">            June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</si>
  <si>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122</t>
    </r>
  </si>
  <si>
    <r>
      <rPr>
        <sz val="10"/>
        <color theme="1"/>
        <rFont val="Arial"/>
      </rPr>
      <t xml:space="preserve">Male: </t>
    </r>
    <r>
      <rPr>
        <u/>
        <sz val="10"/>
        <color theme="1"/>
        <rFont val="Arial"/>
      </rPr>
      <t>112</t>
    </r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</si>
  <si>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20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</si>
  <si>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19</t>
    </r>
  </si>
  <si>
    <t>Mark Neil Fabic</t>
  </si>
  <si>
    <t>Biking 1</t>
  </si>
  <si>
    <t>Oscar Ong</t>
  </si>
  <si>
    <t>Dipatlong</t>
  </si>
  <si>
    <t>Jeffrey Celades</t>
  </si>
  <si>
    <t>Narciso Palma</t>
  </si>
  <si>
    <t>Hermogenes Janohan</t>
  </si>
  <si>
    <t>Cang-iras</t>
  </si>
  <si>
    <t>Ma. Mecial Cempron</t>
  </si>
  <si>
    <t>Mcleodel Tolon</t>
  </si>
  <si>
    <t>Terso Tinay</t>
  </si>
  <si>
    <t>Eleno Cereligia</t>
  </si>
  <si>
    <t>Jovencio Hilot</t>
  </si>
  <si>
    <t>Reynaldo Bigcal</t>
  </si>
  <si>
    <t>Christopher Pascaal</t>
  </si>
  <si>
    <t>Raque Podador</t>
  </si>
  <si>
    <t>Exequiel Tampon</t>
  </si>
  <si>
    <t>Jerold Cahulogan</t>
  </si>
  <si>
    <t>Buenasuerte</t>
  </si>
  <si>
    <t>Cuarls Cenabre</t>
  </si>
  <si>
    <t xml:space="preserve">Fatima </t>
  </si>
  <si>
    <t>Raquel Escobido</t>
  </si>
  <si>
    <t xml:space="preserve">Kauswagan </t>
  </si>
  <si>
    <t>Albert Ninofranco</t>
  </si>
  <si>
    <t>Rogelio Abarquez</t>
  </si>
  <si>
    <t>Pedro Llemit</t>
  </si>
  <si>
    <t>Flora Dacula</t>
  </si>
  <si>
    <t>Baclayon</t>
  </si>
  <si>
    <t>Nolie Resando</t>
  </si>
  <si>
    <t>Joseph Jude Sosoter</t>
  </si>
  <si>
    <t>Elena Camposo</t>
  </si>
  <si>
    <t>Rita Tanoco</t>
  </si>
  <si>
    <t>Aireen Agura</t>
  </si>
  <si>
    <r>
      <rPr>
        <sz val="11"/>
        <color theme="1"/>
        <rFont val="Calibri"/>
      </rPr>
      <t>Deomides Ca</t>
    </r>
    <r>
      <rPr>
        <sz val="11"/>
        <color theme="1"/>
        <rFont val="Calibri"/>
      </rPr>
      <t>ñete</t>
    </r>
  </si>
  <si>
    <t>Ryiel Tagsip</t>
  </si>
  <si>
    <t>Francisco Rubia</t>
  </si>
  <si>
    <t>Frances Jay Rubia</t>
  </si>
  <si>
    <t>Rodrigo Jumamoy</t>
  </si>
  <si>
    <t>Romeo de Leon</t>
  </si>
  <si>
    <t>Saldy Garcines</t>
  </si>
  <si>
    <t>Ramon Gulayan</t>
  </si>
  <si>
    <t>Timmy Jamil</t>
  </si>
  <si>
    <t>Mercedito Abuyo</t>
  </si>
  <si>
    <t>Larry Gonzales</t>
  </si>
  <si>
    <t>Genaro Busbus</t>
  </si>
  <si>
    <t>Aleth Tajale</t>
  </si>
  <si>
    <t>Montesunting</t>
  </si>
  <si>
    <t>Ernesto Rulida</t>
  </si>
  <si>
    <t>Teddy Auxtero</t>
  </si>
  <si>
    <t>Glenn Abrau</t>
  </si>
  <si>
    <t>Ritchie Saldum</t>
  </si>
  <si>
    <t>Carina Unajan</t>
  </si>
  <si>
    <t>Pob. Looc</t>
  </si>
  <si>
    <t>Alejandro Genson</t>
  </si>
  <si>
    <t>Edison Torrentira</t>
  </si>
  <si>
    <t>Madelyn Tabada</t>
  </si>
  <si>
    <t>June Carl Quieta</t>
  </si>
  <si>
    <t>Jeoffrey Aparece</t>
  </si>
  <si>
    <t>Jerome Lugpit</t>
  </si>
  <si>
    <t>Adriel Tiongson</t>
  </si>
  <si>
    <t>Angelito Estongio</t>
  </si>
  <si>
    <t>Ronel Espinal</t>
  </si>
  <si>
    <t>Cagawitan</t>
  </si>
  <si>
    <t>Agapito Roslinda</t>
  </si>
  <si>
    <t>Joenel Lupian</t>
  </si>
  <si>
    <t>Jerry Ligoyligoy</t>
  </si>
  <si>
    <t>Nasario Torreon</t>
  </si>
  <si>
    <t>Ailen Fe Lustre</t>
  </si>
  <si>
    <t>Reshiel Ejorango</t>
  </si>
  <si>
    <t>Genaro Lopez</t>
  </si>
  <si>
    <t>Jonathan Agcol</t>
  </si>
  <si>
    <t>Frina Mulhall</t>
  </si>
  <si>
    <t xml:space="preserve">Bulilis </t>
  </si>
  <si>
    <t>Neil Anthony Ardiente</t>
  </si>
  <si>
    <t>Pedro Baay</t>
  </si>
  <si>
    <t>Roxas</t>
  </si>
  <si>
    <t>Angelito Amarille</t>
  </si>
  <si>
    <t>Vercel Petalco</t>
  </si>
  <si>
    <t>Roberto Dag-um</t>
  </si>
  <si>
    <t>Generoso Palingcod</t>
  </si>
  <si>
    <t>Alfredo Hernaes</t>
  </si>
  <si>
    <t>Helena Lingatong</t>
  </si>
  <si>
    <t>Trinidad Unajan</t>
  </si>
  <si>
    <t>Dario Tiangao</t>
  </si>
  <si>
    <t>Nilo Tabaranza</t>
  </si>
  <si>
    <t>Ernie Jhun Pailanan</t>
  </si>
  <si>
    <t>Victor Dayondon</t>
  </si>
  <si>
    <t>Pedro Acaso</t>
  </si>
  <si>
    <t>Libaong</t>
  </si>
  <si>
    <t>Panglao</t>
  </si>
  <si>
    <t>Raul Suerte</t>
  </si>
  <si>
    <t>Badian</t>
  </si>
  <si>
    <t>Orlando Melloria</t>
  </si>
  <si>
    <t>Can-oling</t>
  </si>
  <si>
    <t>Gina Jamil</t>
  </si>
  <si>
    <t>Elverio Maglajos</t>
  </si>
  <si>
    <t>Sanny Boy Añasco</t>
  </si>
  <si>
    <t>Dait Sur</t>
  </si>
  <si>
    <t>Rosenie Solarte</t>
  </si>
  <si>
    <t>Francisco Caresosa</t>
  </si>
  <si>
    <t>Bartolome Campoamor</t>
  </si>
  <si>
    <t>Jacinto Lozada</t>
  </si>
  <si>
    <t>Jing Ancog</t>
  </si>
  <si>
    <t>Rolando Amba</t>
  </si>
  <si>
    <t>Claudio Macalandag</t>
  </si>
  <si>
    <t>Jovelyn Torregosa</t>
  </si>
  <si>
    <t>Eulita Estillore</t>
  </si>
  <si>
    <t>Michelle Villabos</t>
  </si>
  <si>
    <t>Marlon Oran</t>
  </si>
  <si>
    <t>Felipe Anub</t>
  </si>
  <si>
    <t>Dexter Petalco</t>
  </si>
  <si>
    <t>Ronald Melicor</t>
  </si>
  <si>
    <t>Remond Caro</t>
  </si>
  <si>
    <t>Melvin Jagutin</t>
  </si>
  <si>
    <t>Merguades Edo</t>
  </si>
  <si>
    <t>Pamacsalan</t>
  </si>
  <si>
    <t>Emiliano Oripaypay</t>
  </si>
  <si>
    <t>Eric Jumao-as</t>
  </si>
  <si>
    <t>Remedios Saguba</t>
  </si>
  <si>
    <t>Jessa Luzano</t>
  </si>
  <si>
    <t>Sofia</t>
  </si>
  <si>
    <t>25 kls</t>
  </si>
  <si>
    <t>90 kls</t>
  </si>
  <si>
    <t>Ghenne Mayol</t>
  </si>
  <si>
    <t>59 kls</t>
  </si>
  <si>
    <t>Ruben Milagrosa</t>
  </si>
  <si>
    <t>Dodo Lazarte</t>
  </si>
  <si>
    <t>Joselito Cenabre</t>
  </si>
  <si>
    <t>La Paz</t>
  </si>
  <si>
    <t>Robert Simpson</t>
  </si>
  <si>
    <t>Mayacabac</t>
  </si>
  <si>
    <r>
      <rPr>
        <sz val="11"/>
        <color theme="1"/>
        <rFont val="Calibri"/>
      </rPr>
      <t>Jun A</t>
    </r>
    <r>
      <rPr>
        <sz val="11"/>
        <color theme="1"/>
        <rFont val="Calibri"/>
      </rPr>
      <t>ñosa</t>
    </r>
  </si>
  <si>
    <t>Arnold Almedilla</t>
  </si>
  <si>
    <t>Tomoc</t>
  </si>
  <si>
    <t>Edgar Llanto</t>
  </si>
  <si>
    <t>Junriel Otom</t>
  </si>
  <si>
    <t>Cristino Dag-um</t>
  </si>
  <si>
    <t>Tamban</t>
  </si>
  <si>
    <t>Virgel Bautista</t>
  </si>
  <si>
    <t>Joey Bernales</t>
  </si>
  <si>
    <t>Mariano Loremia</t>
  </si>
  <si>
    <t>Dael Bautista</t>
  </si>
  <si>
    <t>Ponciano Quino</t>
  </si>
  <si>
    <t>Raul Cosare</t>
  </si>
  <si>
    <t>Costudio Pareno</t>
  </si>
  <si>
    <t>Baucan Sur</t>
  </si>
  <si>
    <t>Alfredo Asares</t>
  </si>
  <si>
    <t>La Esperanza</t>
  </si>
  <si>
    <t>Eduardo Hangad</t>
  </si>
  <si>
    <t>Cabad</t>
  </si>
  <si>
    <t>Marcelo Vistal</t>
  </si>
  <si>
    <t>Esmeraldo Tiongson Jr</t>
  </si>
  <si>
    <t>39 kls</t>
  </si>
  <si>
    <t>Jinky Sojon</t>
  </si>
  <si>
    <t>Joe Curapao</t>
  </si>
  <si>
    <t>Feliciano Betaizar</t>
  </si>
  <si>
    <t>Joventino Bontog</t>
  </si>
  <si>
    <t>Marino Omac</t>
  </si>
  <si>
    <t>Riverside</t>
  </si>
  <si>
    <t>Policarpo Niones</t>
  </si>
  <si>
    <t>Dominador Caballes</t>
  </si>
  <si>
    <t>Ruel Ayuban</t>
  </si>
  <si>
    <t>Sudlon</t>
  </si>
  <si>
    <t>Genaro Quilas</t>
  </si>
  <si>
    <t>Alejandro Bonhayag Sr.</t>
  </si>
  <si>
    <t>Edgardo Perez</t>
  </si>
  <si>
    <t>Dominador Lomonsod</t>
  </si>
  <si>
    <t>Totolan</t>
  </si>
  <si>
    <r>
      <rPr>
        <sz val="11"/>
        <color theme="1"/>
        <rFont val="Calibri"/>
      </rPr>
      <t xml:space="preserve">Sto. </t>
    </r>
    <r>
      <rPr>
        <sz val="11"/>
        <color theme="1"/>
        <rFont val="Calibri"/>
      </rPr>
      <t>Ñino</t>
    </r>
  </si>
  <si>
    <t>Arnulfa Pandac</t>
  </si>
  <si>
    <t>Reynaldo Generalao</t>
  </si>
  <si>
    <t>Eutiquio Auxtero Jr.</t>
  </si>
  <si>
    <t>Berlisa Lamoste</t>
  </si>
  <si>
    <t>Mercedes Aboser</t>
  </si>
  <si>
    <t>Expedito Aparece</t>
  </si>
  <si>
    <t>Antonio Jalop</t>
  </si>
  <si>
    <t>Nestor Calamba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</si>
  <si>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 xml:space="preserve"> 253,900</t>
    </r>
    <r>
      <rPr>
        <sz val="9"/>
        <color theme="1"/>
        <rFont val="Arial"/>
      </rPr>
      <t xml:space="preserve"> </t>
    </r>
    <r>
      <rPr>
        <u/>
        <sz val="9"/>
        <color theme="1"/>
        <rFont val="Arial"/>
      </rPr>
      <t>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</si>
  <si>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57,250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</si>
  <si>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1,250 pcs.</t>
    </r>
  </si>
  <si>
    <r>
      <rPr>
        <sz val="9"/>
        <color theme="1"/>
        <rFont val="Arial"/>
      </rPr>
      <t>Ornamental Fish: 1,950</t>
    </r>
    <r>
      <rPr>
        <u/>
        <sz val="9"/>
        <color theme="1"/>
        <rFont val="Arial"/>
      </rPr>
      <t xml:space="preserve">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</si>
  <si>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</si>
  <si>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</si>
  <si>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112,593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</si>
  <si>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14,200</t>
    </r>
  </si>
  <si>
    <t xml:space="preserve">            July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</si>
  <si>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</si>
  <si>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Male: </t>
    </r>
    <r>
      <rPr>
        <u/>
        <sz val="10"/>
        <color theme="1"/>
        <rFont val="Arial"/>
      </rPr>
      <t>242</t>
    </r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</si>
  <si>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42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</si>
  <si>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37</t>
    </r>
  </si>
  <si>
    <t>Marvin Batolanon</t>
  </si>
  <si>
    <t>Fernando Palacio</t>
  </si>
  <si>
    <t>Christopher Jerusalem</t>
  </si>
  <si>
    <t>Genonacan</t>
  </si>
  <si>
    <t>Jonathan Roslinda</t>
  </si>
  <si>
    <t>Regine Cequina</t>
  </si>
  <si>
    <t>Glenn Gabuya</t>
  </si>
  <si>
    <t>Guiwanon</t>
  </si>
  <si>
    <t>Arnel Sanchez</t>
  </si>
  <si>
    <t>Aurelio Salposial</t>
  </si>
  <si>
    <t>Marciano Cequina</t>
  </si>
  <si>
    <t>Gerardo Laresma</t>
  </si>
  <si>
    <t>Petra Pesanos</t>
  </si>
  <si>
    <t>Tata Abay Abay</t>
  </si>
  <si>
    <t>Lomangog</t>
  </si>
  <si>
    <t>Renato Lacea</t>
  </si>
  <si>
    <t>Boyog Norte</t>
  </si>
  <si>
    <t>Ricardo Tinahora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</si>
  <si>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</si>
  <si>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Paulino Palma</t>
  </si>
  <si>
    <t>Magdalino Betaizar</t>
  </si>
  <si>
    <t>Angelito Estorgio</t>
  </si>
  <si>
    <t>Bangag</t>
  </si>
  <si>
    <t>Carlos Fajardo</t>
  </si>
  <si>
    <t>Aquilina Bitasolo</t>
  </si>
  <si>
    <t>Teodulo Generalao</t>
  </si>
  <si>
    <t>Gena Rendon</t>
  </si>
  <si>
    <t>Lester John Galendez</t>
  </si>
  <si>
    <t>Samuel Espinal</t>
  </si>
  <si>
    <t>Lilie Estorgio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</si>
  <si>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ña Carakut</t>
    </r>
  </si>
  <si>
    <t>Catmonan</t>
  </si>
  <si>
    <t>Alfie Pahamutang</t>
  </si>
  <si>
    <t>Marites de la Cruz</t>
  </si>
  <si>
    <t>77 kls</t>
  </si>
  <si>
    <t>Niño Garcia</t>
  </si>
  <si>
    <t>2 kls</t>
  </si>
  <si>
    <t>Tienda sa BFAR</t>
  </si>
  <si>
    <t>32 kls</t>
  </si>
  <si>
    <r>
      <rPr>
        <sz val="11"/>
        <color theme="1"/>
        <rFont val="Calibri"/>
      </rPr>
      <t>Novo Va</t>
    </r>
    <r>
      <rPr>
        <sz val="11"/>
        <color theme="1"/>
        <rFont val="Calibri"/>
      </rPr>
      <t>ño</t>
    </r>
  </si>
  <si>
    <t>1.25 kls</t>
  </si>
  <si>
    <t>Jonathan Tabaranza</t>
  </si>
  <si>
    <t>Mitch Denu</t>
  </si>
  <si>
    <t>Geronimo Latoja</t>
  </si>
  <si>
    <t>Joel Estolonio</t>
  </si>
  <si>
    <t>Calinginan Sur</t>
  </si>
  <si>
    <t>Manden Gapos</t>
  </si>
  <si>
    <t>Abucayan</t>
  </si>
  <si>
    <t>Jan Rey Aclan</t>
  </si>
  <si>
    <t>Greggy Tenajeros</t>
  </si>
  <si>
    <t>Felixberto Eronico</t>
  </si>
  <si>
    <t>Lean Venon Artiaga</t>
  </si>
  <si>
    <t>Leonardo Palingcod</t>
  </si>
  <si>
    <t>Glenn Cabuga</t>
  </si>
  <si>
    <t>Longino Andamon</t>
  </si>
  <si>
    <t>Samuel Fulguirinas</t>
  </si>
  <si>
    <t>Oligario Gales Jr.</t>
  </si>
  <si>
    <t>Bangwalog</t>
  </si>
  <si>
    <t>Duero</t>
  </si>
  <si>
    <t>Noel Casquejo</t>
  </si>
  <si>
    <t>Silvestre Lamoste</t>
  </si>
  <si>
    <t>Clemencia Cepe</t>
  </si>
  <si>
    <t>Nelson Boticario</t>
  </si>
  <si>
    <t>Rodrigo Espinal</t>
  </si>
  <si>
    <t>Tambuan</t>
  </si>
  <si>
    <t>Jimmy Visto</t>
  </si>
  <si>
    <t>Leonardo Catalbas</t>
  </si>
  <si>
    <t>Liko-liko</t>
  </si>
  <si>
    <t>Efren Apalisok</t>
  </si>
  <si>
    <t>Eastern Pob.</t>
  </si>
  <si>
    <t>Alburquerque</t>
  </si>
  <si>
    <t>Aaron Abarquez</t>
  </si>
  <si>
    <t>Marcos Cepe</t>
  </si>
  <si>
    <t xml:space="preserve">Lorenzo Andrade </t>
  </si>
  <si>
    <t>Joel Espinosa</t>
  </si>
  <si>
    <t>Antidio Chatto</t>
  </si>
  <si>
    <t>Sanny Ebua</t>
  </si>
  <si>
    <t>Teofilo Caucinzo</t>
  </si>
  <si>
    <t>Dino Ligutan</t>
  </si>
  <si>
    <t>Camanaga</t>
  </si>
  <si>
    <t>Miguel Mesiona</t>
  </si>
  <si>
    <t>Baang</t>
  </si>
  <si>
    <t>Joel Libres</t>
  </si>
  <si>
    <t>Romulo Estillore</t>
  </si>
  <si>
    <t>Johny Nuera</t>
  </si>
  <si>
    <t>Beling Alicame</t>
  </si>
  <si>
    <t>Elsa Bernaldez</t>
  </si>
  <si>
    <t>Alvin Mante</t>
  </si>
  <si>
    <t>Marieztel Abrea</t>
  </si>
  <si>
    <t>Ricardo Alcoser</t>
  </si>
  <si>
    <t>Tito Reyes</t>
  </si>
  <si>
    <t>Nelson Bautista</t>
  </si>
  <si>
    <t>Bernie Cambangay</t>
  </si>
  <si>
    <t>Chuck Nicholeson Tonido</t>
  </si>
  <si>
    <t>Cristita Auza</t>
  </si>
  <si>
    <t>Jose Bongator</t>
  </si>
  <si>
    <t>M. Roxas</t>
  </si>
  <si>
    <t>Nick Guisado</t>
  </si>
  <si>
    <t>Leneth Octobre</t>
  </si>
  <si>
    <t>Cabiguihan</t>
  </si>
  <si>
    <t>Vidal Lastimado</t>
  </si>
  <si>
    <t>Genesis Abrau</t>
  </si>
  <si>
    <t>Sam Dumaguit</t>
  </si>
  <si>
    <t>Cabanugan</t>
  </si>
  <si>
    <t>Precioso Lugapa Jr.</t>
  </si>
  <si>
    <t>Gaudencia Cainghog</t>
  </si>
  <si>
    <t>Aldwin Buscabas</t>
  </si>
  <si>
    <t>Jestonne Palma</t>
  </si>
  <si>
    <t>Edwina Modina</t>
  </si>
  <si>
    <t>Edcel Petecio</t>
  </si>
  <si>
    <t>Roselle Columnas</t>
  </si>
  <si>
    <t>Antonio Tabada</t>
  </si>
  <si>
    <t>Cabiguhan</t>
  </si>
  <si>
    <t>Trnidad</t>
  </si>
  <si>
    <t>San Muguel</t>
  </si>
  <si>
    <t>Arnel Cordero</t>
  </si>
  <si>
    <t>Ronald Mantahinay</t>
  </si>
  <si>
    <t>William Gamurot</t>
  </si>
  <si>
    <t xml:space="preserve">Tiguis </t>
  </si>
  <si>
    <t>Artemio Palma</t>
  </si>
  <si>
    <t>Sto. Nino</t>
  </si>
  <si>
    <t>Jose Allan Andoles</t>
  </si>
  <si>
    <t>Ma. Corazon Corsiga</t>
  </si>
  <si>
    <t>Nick Guisalo</t>
  </si>
  <si>
    <t>Eleuterio Auiguis</t>
  </si>
  <si>
    <t>Michael Estoce</t>
  </si>
  <si>
    <t>Teofilo Pandac</t>
  </si>
  <si>
    <t>Ruben Buno</t>
  </si>
  <si>
    <t>Guilbert Bitasolo</t>
  </si>
  <si>
    <t>Agustin Gonzaga</t>
  </si>
  <si>
    <t>Kang-iras</t>
  </si>
  <si>
    <t>John Jay Ragas</t>
  </si>
  <si>
    <t>Joselito Aninipot</t>
  </si>
  <si>
    <r>
      <rPr>
        <sz val="11"/>
        <color theme="1"/>
        <rFont val="Calibri"/>
      </rPr>
      <t>Anastacio Ni</t>
    </r>
    <r>
      <rPr>
        <sz val="11"/>
        <color theme="1"/>
        <rFont val="Calibri"/>
      </rPr>
      <t>ñolas</t>
    </r>
  </si>
  <si>
    <t>Dino Abay</t>
  </si>
  <si>
    <t>Zacarias Nuez</t>
  </si>
  <si>
    <t>Anselmo Bulala</t>
  </si>
  <si>
    <t>Bernie Basbas</t>
  </si>
  <si>
    <r>
      <rPr>
        <sz val="11"/>
        <color theme="1"/>
        <rFont val="Calibri"/>
      </rPr>
      <t>Leneth Yba</t>
    </r>
    <r>
      <rPr>
        <sz val="11"/>
        <color theme="1"/>
        <rFont val="Calibri"/>
      </rPr>
      <t>ñez</t>
    </r>
  </si>
  <si>
    <t>Eduardo Saludo</t>
  </si>
  <si>
    <t>Jelyn Nuera</t>
  </si>
  <si>
    <t>Randolf Corrales</t>
  </si>
  <si>
    <t>Campangga</t>
  </si>
  <si>
    <t>Noemi Bastasa</t>
  </si>
  <si>
    <t>Ronel Canoy</t>
  </si>
  <si>
    <t>Renante Remorosa</t>
  </si>
  <si>
    <t>Jessie Ligan</t>
  </si>
  <si>
    <t>Leo Doliente</t>
  </si>
  <si>
    <t>Aniceto Lacienda</t>
  </si>
  <si>
    <t>Altie Lumagod</t>
  </si>
  <si>
    <t>Abakhanan</t>
  </si>
  <si>
    <t>Victor Llano</t>
  </si>
  <si>
    <t>Paulito Budiongan</t>
  </si>
  <si>
    <t>Efren Genita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</si>
  <si>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</si>
  <si>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</si>
  <si>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Albert Degamo</t>
  </si>
  <si>
    <t>Francisco Vistal</t>
  </si>
  <si>
    <t>June Karl Quieta</t>
  </si>
  <si>
    <t>Daniel Doria</t>
  </si>
  <si>
    <t>Espirato Gempisao</t>
  </si>
  <si>
    <t>Mark Tano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</si>
  <si>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</si>
  <si>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Ryan Manliguez</t>
  </si>
  <si>
    <t>Ronie Remo</t>
  </si>
  <si>
    <t>Frances Alyssa Mae Razalo</t>
  </si>
  <si>
    <t>Basac</t>
  </si>
  <si>
    <t>Alfredo Bulaquina</t>
  </si>
  <si>
    <t>Anabel Taacon</t>
  </si>
  <si>
    <t>Paulino Palua</t>
  </si>
  <si>
    <t xml:space="preserve">Kagawasan </t>
  </si>
  <si>
    <t>Aldrin del Rosario</t>
  </si>
  <si>
    <t>Renaldo Digaum</t>
  </si>
  <si>
    <t>Felina Sarte</t>
  </si>
  <si>
    <t>Villahermoso</t>
  </si>
  <si>
    <t>Gary Crescencio</t>
  </si>
  <si>
    <t>Margarito Macabudbud</t>
  </si>
  <si>
    <t>Antonio Mata</t>
  </si>
  <si>
    <t>Felix Daluran</t>
  </si>
  <si>
    <t>Junior Comaling</t>
  </si>
  <si>
    <t>Emilio Jamil</t>
  </si>
  <si>
    <t>Wilson Gamorot</t>
  </si>
  <si>
    <t>Jeford Gudilosao</t>
  </si>
  <si>
    <t>Nestor Bacaltos</t>
  </si>
  <si>
    <t>Emilia Salcedo</t>
  </si>
  <si>
    <t>Nestor Lamoste</t>
  </si>
  <si>
    <t>San Vicente Norte</t>
  </si>
  <si>
    <t>Jether Cabriga</t>
  </si>
  <si>
    <t>Joseph Licayan</t>
  </si>
  <si>
    <t>Marcial Endres</t>
  </si>
  <si>
    <t>Jessie Rey Sumampong</t>
  </si>
  <si>
    <t>Rodrigo Berdera</t>
  </si>
  <si>
    <t>Fiel Ryan Ponte</t>
  </si>
  <si>
    <t>Froilan Diaz</t>
  </si>
  <si>
    <t>Lito Oronan</t>
  </si>
  <si>
    <t>Libertad Sur</t>
  </si>
  <si>
    <t>Crispin Quim</t>
  </si>
  <si>
    <t>Pelagio Valeroso</t>
  </si>
  <si>
    <t>Nestor Valeroso</t>
  </si>
  <si>
    <t>Jessie Bitasolo</t>
  </si>
  <si>
    <t>Edwin Bitasolo</t>
  </si>
  <si>
    <t>Gio Degamo</t>
  </si>
  <si>
    <t>Dait</t>
  </si>
  <si>
    <t>Robert Butanilan</t>
  </si>
  <si>
    <t>Benedicto Reyes</t>
  </si>
  <si>
    <t>Marvin Melliza</t>
  </si>
  <si>
    <t>Sinforiano Alipoyo Jr.</t>
  </si>
  <si>
    <t>Hayahay</t>
  </si>
  <si>
    <t>Guillermo Truzan</t>
  </si>
  <si>
    <r>
      <rPr>
        <sz val="11"/>
        <color theme="1"/>
        <rFont val="Calibri"/>
      </rPr>
      <t>Monafe Ca</t>
    </r>
    <r>
      <rPr>
        <sz val="11"/>
        <color theme="1"/>
        <rFont val="Calibri"/>
      </rPr>
      <t>ñizares</t>
    </r>
  </si>
  <si>
    <r>
      <rPr>
        <sz val="11"/>
        <color theme="1"/>
        <rFont val="Calibri"/>
      </rPr>
      <t>Monafe Ca</t>
    </r>
    <r>
      <rPr>
        <sz val="11"/>
        <color theme="1"/>
        <rFont val="Calibri"/>
      </rPr>
      <t>ñizares</t>
    </r>
  </si>
  <si>
    <t>Clemente Manla</t>
  </si>
  <si>
    <t>Juan Marabilis</t>
  </si>
  <si>
    <t>Jacinto Bautista</t>
  </si>
  <si>
    <t>Mercedita Bautista</t>
  </si>
  <si>
    <t>Julito Abuyo</t>
  </si>
  <si>
    <r>
      <rPr>
        <sz val="11"/>
        <color theme="1"/>
        <rFont val="Calibri"/>
      </rPr>
      <t>Cyril A</t>
    </r>
    <r>
      <rPr>
        <sz val="11"/>
        <color theme="1"/>
        <rFont val="Calibri"/>
      </rPr>
      <t>ñabieza</t>
    </r>
  </si>
  <si>
    <t>Asinan</t>
  </si>
  <si>
    <t>Restituto Cajes</t>
  </si>
  <si>
    <t>Ariel Rulida</t>
  </si>
  <si>
    <t>Danilo Palomares</t>
  </si>
  <si>
    <t>Imee Lenteria</t>
  </si>
  <si>
    <t>Arnel Libot</t>
  </si>
  <si>
    <t>John Mateo</t>
  </si>
  <si>
    <t>Julieta Sablas</t>
  </si>
  <si>
    <t>Teotima Roxas</t>
  </si>
  <si>
    <t>Concordio Camo-Camo</t>
  </si>
  <si>
    <t>Laray</t>
  </si>
  <si>
    <t>Jorie Cel Elecson</t>
  </si>
  <si>
    <t>Rubilyu Bajinting</t>
  </si>
  <si>
    <t>Nestor Muring</t>
  </si>
  <si>
    <t>Loreto Naresma</t>
  </si>
  <si>
    <t>Los Angeles</t>
  </si>
  <si>
    <t>Jonathan Tagapia</t>
  </si>
  <si>
    <t>Cris Doria</t>
  </si>
  <si>
    <t>Niel Fred Flores</t>
  </si>
  <si>
    <t>Rinnard Elicot</t>
  </si>
  <si>
    <t>Kim Bryan Navarro</t>
  </si>
  <si>
    <t>Uri Cambangay</t>
  </si>
  <si>
    <t>Ireneo Tumalom</t>
  </si>
  <si>
    <t>Eduardo Nuez</t>
  </si>
  <si>
    <t xml:space="preserve">Bugang </t>
  </si>
  <si>
    <t>Avelino Buntod</t>
  </si>
  <si>
    <t>Marcelino Idusma</t>
  </si>
  <si>
    <t>Marino Cosgafa Jr.</t>
  </si>
  <si>
    <t>Ireneo Bitang</t>
  </si>
  <si>
    <t>Canmano</t>
  </si>
  <si>
    <t>Alberto Baliling</t>
  </si>
  <si>
    <t>Rogelio Marabilis</t>
  </si>
  <si>
    <t>Emegio Goloso</t>
  </si>
  <si>
    <t>Bernabe Sarasa</t>
  </si>
  <si>
    <t>Julieta Rambonanza</t>
  </si>
  <si>
    <t>Manuel Jamil</t>
  </si>
  <si>
    <t>Joefer Luza</t>
  </si>
  <si>
    <t>Josue Casabuena</t>
  </si>
  <si>
    <t>Balaga</t>
  </si>
  <si>
    <t>Mabini</t>
  </si>
  <si>
    <t>Seigfred Villabito</t>
  </si>
  <si>
    <t>Florentino Andoy</t>
  </si>
  <si>
    <t>Jaymar Jugarap</t>
  </si>
  <si>
    <t>Boloy Omamalin</t>
  </si>
  <si>
    <t>Joyce Cesar</t>
  </si>
  <si>
    <t>Cirilo Pracullos</t>
  </si>
  <si>
    <t>Jimmy Labor</t>
  </si>
  <si>
    <t>Gerardo Vistal</t>
  </si>
  <si>
    <t xml:space="preserve">Ma. Rosario </t>
  </si>
  <si>
    <t>Noreyl Kout Suarez</t>
  </si>
  <si>
    <t>Rieyl Tagsip</t>
  </si>
  <si>
    <t>Raul Cubos</t>
  </si>
  <si>
    <t>Mely Alampayan</t>
  </si>
  <si>
    <t>Paul Nalzaro</t>
  </si>
  <si>
    <t>Marietto Luega</t>
  </si>
  <si>
    <t>Victor Adlaon</t>
  </si>
  <si>
    <t>Noel Alonzo</t>
  </si>
  <si>
    <t>Carcar City</t>
  </si>
  <si>
    <t>Cebu</t>
  </si>
  <si>
    <t>Perigrino Lirasan</t>
  </si>
  <si>
    <t>Alo</t>
  </si>
  <si>
    <t>Richard Pepito</t>
  </si>
  <si>
    <t>Jason Redillas</t>
  </si>
  <si>
    <t>Luna Baja</t>
  </si>
  <si>
    <t>Ruben Ampoloquio</t>
  </si>
  <si>
    <t>Inahuban</t>
  </si>
  <si>
    <t>Erwin Aguhob</t>
  </si>
  <si>
    <t>Teresita Pantinople</t>
  </si>
  <si>
    <t>Deomides Mijos</t>
  </si>
  <si>
    <t>Cristina Orevillo</t>
  </si>
  <si>
    <t>Hermie Villasor</t>
  </si>
  <si>
    <t>Cabigohan</t>
  </si>
  <si>
    <t>Reynaldo Beltran</t>
  </si>
  <si>
    <t>Luel Estillore</t>
  </si>
  <si>
    <t>Jestoni Romana</t>
  </si>
  <si>
    <t>Jayrhome Diolquino</t>
  </si>
  <si>
    <t>Lucia Badiang</t>
  </si>
  <si>
    <t>Lolito Gonzales</t>
  </si>
  <si>
    <t>Reneboy Bardinas</t>
  </si>
  <si>
    <t>Sergio Balentucas</t>
  </si>
  <si>
    <r>
      <rPr>
        <sz val="11"/>
        <color theme="1"/>
        <rFont val="Calibri"/>
      </rPr>
      <t>Diomedes Ca</t>
    </r>
    <r>
      <rPr>
        <sz val="11"/>
        <color theme="1"/>
        <rFont val="Calibri"/>
      </rPr>
      <t>ñete</t>
    </r>
  </si>
  <si>
    <r>
      <rPr>
        <sz val="11"/>
        <color theme="1"/>
        <rFont val="Calibri"/>
      </rPr>
      <t>Diomedes Ca</t>
    </r>
    <r>
      <rPr>
        <sz val="11"/>
        <color theme="1"/>
        <rFont val="Calibri"/>
      </rPr>
      <t>ñete</t>
    </r>
  </si>
  <si>
    <r>
      <rPr>
        <sz val="11"/>
        <color theme="1"/>
        <rFont val="Calibri"/>
      </rPr>
      <t>Erick Da</t>
    </r>
    <r>
      <rPr>
        <sz val="11"/>
        <color theme="1"/>
        <rFont val="Calibri"/>
      </rPr>
      <t>ño</t>
    </r>
  </si>
  <si>
    <t>Daet Norte</t>
  </si>
  <si>
    <t>Elvie Loon</t>
  </si>
  <si>
    <t>Anthony Tano</t>
  </si>
  <si>
    <r>
      <rPr>
        <sz val="11"/>
        <color theme="1"/>
        <rFont val="Calibri"/>
      </rPr>
      <t>Sto. Ni</t>
    </r>
    <r>
      <rPr>
        <sz val="11"/>
        <color theme="1"/>
        <rFont val="Calibri"/>
      </rPr>
      <t>ño</t>
    </r>
  </si>
  <si>
    <t>Genesis Tanaid Sr.</t>
  </si>
  <si>
    <t>Bonifacio Amestoso Sr.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</si>
  <si>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 xml:space="preserve"> 689,658</t>
    </r>
    <r>
      <rPr>
        <sz val="9"/>
        <color theme="1"/>
        <rFont val="Arial"/>
      </rPr>
      <t xml:space="preserve"> </t>
    </r>
    <r>
      <rPr>
        <u/>
        <sz val="9"/>
        <color theme="1"/>
        <rFont val="Arial"/>
      </rPr>
      <t>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</si>
  <si>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128,187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</si>
  <si>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 xml:space="preserve"> 4,000 pcs.</t>
    </r>
  </si>
  <si>
    <r>
      <rPr>
        <sz val="9"/>
        <color theme="1"/>
        <rFont val="Arial"/>
      </rPr>
      <t>Ornamental Fish: 1,171</t>
    </r>
    <r>
      <rPr>
        <u/>
        <sz val="9"/>
        <color theme="1"/>
        <rFont val="Arial"/>
      </rPr>
      <t xml:space="preserve">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</si>
  <si>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</si>
  <si>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</si>
  <si>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123,315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</si>
  <si>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33,359</t>
    </r>
  </si>
  <si>
    <t xml:space="preserve">            August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</si>
  <si>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155</t>
    </r>
  </si>
  <si>
    <t>Male: 129</t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</si>
  <si>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26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</si>
  <si>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20</t>
    </r>
  </si>
  <si>
    <t>Doyle Celocia</t>
  </si>
  <si>
    <t>Margarito Lanoy</t>
  </si>
  <si>
    <t>Kabasakan</t>
  </si>
  <si>
    <t>Eduardo Alcantara</t>
  </si>
  <si>
    <t>Mansasa</t>
  </si>
  <si>
    <t>Rudy Lopez</t>
  </si>
  <si>
    <t>Milan Digamon</t>
  </si>
  <si>
    <t>Edilberto Salise</t>
  </si>
  <si>
    <t>Junalyn Comaya</t>
  </si>
  <si>
    <t>Joel Buaya</t>
  </si>
  <si>
    <r>
      <rPr>
        <sz val="11"/>
        <color theme="1"/>
        <rFont val="Calibri"/>
      </rPr>
      <t>Felix Logro</t>
    </r>
    <r>
      <rPr>
        <sz val="11"/>
        <color theme="1"/>
        <rFont val="Calibri"/>
      </rPr>
      <t>ñ</t>
    </r>
    <r>
      <rPr>
        <sz val="12"/>
        <color theme="1"/>
        <rFont val="Calibri"/>
      </rPr>
      <t>o</t>
    </r>
  </si>
  <si>
    <t>Glen Clamohoy</t>
  </si>
  <si>
    <t>Pedro Tagayong</t>
  </si>
  <si>
    <t>Carlo Sepada</t>
  </si>
  <si>
    <t>Liezel Cosares</t>
  </si>
  <si>
    <t>Gaudioso Babida</t>
  </si>
  <si>
    <t>Edward Abanto</t>
  </si>
  <si>
    <t>Apolonio Avelino</t>
  </si>
  <si>
    <t>Elizabeth Timblaco</t>
  </si>
  <si>
    <t>Darwin Repala</t>
  </si>
  <si>
    <t>Herme Galendes</t>
  </si>
  <si>
    <t>Angelito Bingas</t>
  </si>
  <si>
    <t>Dionesio Celeridad</t>
  </si>
  <si>
    <t>Rogelio Omusora</t>
  </si>
  <si>
    <t xml:space="preserve">Panggangan </t>
  </si>
  <si>
    <t>Ranelo Bulala</t>
  </si>
  <si>
    <t>Johnley Bayking</t>
  </si>
  <si>
    <t>Lutac</t>
  </si>
  <si>
    <t>Teodoro Bahinting</t>
  </si>
  <si>
    <t>Rene Legaspi</t>
  </si>
  <si>
    <t>Randy Patalinghug</t>
  </si>
  <si>
    <t>Rolando Nastor</t>
  </si>
  <si>
    <t>Juniel Albaracin</t>
  </si>
  <si>
    <t>Marty Mantilla</t>
  </si>
  <si>
    <t>Ray PG Alcala</t>
  </si>
  <si>
    <r>
      <rPr>
        <sz val="11"/>
        <color theme="1"/>
        <rFont val="Calibri"/>
      </rPr>
      <t>Anastacio Ni</t>
    </r>
    <r>
      <rPr>
        <sz val="11"/>
        <color theme="1"/>
        <rFont val="Calibri"/>
      </rPr>
      <t>ñolas</t>
    </r>
  </si>
  <si>
    <t>Luz Ogpo</t>
  </si>
  <si>
    <t>Catumimbo</t>
  </si>
  <si>
    <t>Marilyn Dacula</t>
  </si>
  <si>
    <t>Tamoc</t>
  </si>
  <si>
    <t>Felix Ancahan</t>
  </si>
  <si>
    <t>Ritchel Mata</t>
  </si>
  <si>
    <t>Francisco Remulta</t>
  </si>
  <si>
    <t>Samuel Fuentes</t>
  </si>
  <si>
    <t>Alger Bungabung</t>
  </si>
  <si>
    <t>Basacdaco</t>
  </si>
  <si>
    <t>JohnRey Ponollera</t>
  </si>
  <si>
    <t>Clemente Doblas</t>
  </si>
  <si>
    <t>Angelie Tuazon</t>
  </si>
  <si>
    <t>Bingag</t>
  </si>
  <si>
    <t>Junrey Vito</t>
  </si>
  <si>
    <t>Jovanie Tahanlangit</t>
  </si>
  <si>
    <t>Alvin Dano</t>
  </si>
  <si>
    <t>Hagbuaya</t>
  </si>
  <si>
    <t>Cecilio Milla</t>
  </si>
  <si>
    <t>Ronilo Licayan</t>
  </si>
  <si>
    <t>Librado Lagrosa</t>
  </si>
  <si>
    <t>Rodrigo Ighot</t>
  </si>
  <si>
    <t>Roldan Lico</t>
  </si>
  <si>
    <t>Efipanio Japay</t>
  </si>
  <si>
    <t>Melchor Jongco Jr.</t>
  </si>
  <si>
    <t>Ramon Torreon</t>
  </si>
  <si>
    <t>Cantiguib</t>
  </si>
  <si>
    <t>Jose Sacong</t>
  </si>
  <si>
    <t>Cecile Mangaran</t>
  </si>
  <si>
    <t>Reynaldo Lara</t>
  </si>
  <si>
    <t>Eliseo Ledesma</t>
  </si>
  <si>
    <t>Capayas</t>
  </si>
  <si>
    <t>Jeffrey Basamayor</t>
  </si>
  <si>
    <t>Julieto Aumentado</t>
  </si>
  <si>
    <t>Florencio Andoy</t>
  </si>
  <si>
    <t>Fernando Loremia</t>
  </si>
  <si>
    <t>Jorge Panotosol</t>
  </si>
  <si>
    <t>Gregorio Tampon</t>
  </si>
  <si>
    <t>Eddie Quisto</t>
  </si>
  <si>
    <t>Isaias Pelomeras</t>
  </si>
  <si>
    <t>Quinapun-an</t>
  </si>
  <si>
    <t>Jayven Bolo</t>
  </si>
  <si>
    <t>Bonbon U-og</t>
  </si>
  <si>
    <t>Ma. Bernadette Boncales</t>
  </si>
  <si>
    <t>Nornita Manatad</t>
  </si>
  <si>
    <t>Turnina Jubita</t>
  </si>
  <si>
    <t>Adela Trimocha</t>
  </si>
  <si>
    <t>Avelino Jamil</t>
  </si>
  <si>
    <t>Honorato Frajele</t>
  </si>
  <si>
    <t>Jayson Virador</t>
  </si>
  <si>
    <t>Lorena Quilit</t>
  </si>
  <si>
    <t>Raynan Oberes</t>
  </si>
  <si>
    <t>Roy Balaba</t>
  </si>
  <si>
    <t>Rene Luzano</t>
  </si>
  <si>
    <t>Edwin Devera</t>
  </si>
  <si>
    <r>
      <rPr>
        <sz val="11"/>
        <color theme="1"/>
        <rFont val="Calibri"/>
      </rPr>
      <t>Juanito A</t>
    </r>
    <r>
      <rPr>
        <sz val="11"/>
        <color theme="1"/>
        <rFont val="Calibri"/>
      </rPr>
      <t>ñora</t>
    </r>
  </si>
  <si>
    <t>Lito Ponte</t>
  </si>
  <si>
    <t>Liberato Auxtero</t>
  </si>
  <si>
    <t>Arnel Tabor</t>
  </si>
  <si>
    <t>YanYan Batulanon</t>
  </si>
  <si>
    <t>Jayson Lagrosa</t>
  </si>
  <si>
    <t>Tony Diez</t>
  </si>
  <si>
    <t>Hanopol</t>
  </si>
  <si>
    <t xml:space="preserve">Quirino </t>
  </si>
  <si>
    <t>Mr. Roden</t>
  </si>
  <si>
    <t>Tagonol</t>
  </si>
  <si>
    <t>Edgardo Bunao</t>
  </si>
  <si>
    <t>Leonila Jamil</t>
  </si>
  <si>
    <t>Rolando Manatad</t>
  </si>
  <si>
    <t>Patrick Estillore</t>
  </si>
  <si>
    <t>Zaldy Canoy</t>
  </si>
  <si>
    <t>Franklin Bongato</t>
  </si>
  <si>
    <t>San Vicente Sur</t>
  </si>
  <si>
    <t>Elesio Ledesma</t>
  </si>
  <si>
    <t>Dioscoro Salamanca</t>
  </si>
  <si>
    <t>Payao</t>
  </si>
  <si>
    <t>Enerito Maisog</t>
  </si>
  <si>
    <t>Dominador Banga</t>
  </si>
  <si>
    <t>Joe Janni Buyan</t>
  </si>
  <si>
    <t>Samuel Buco</t>
  </si>
  <si>
    <t>Andres Jala</t>
  </si>
  <si>
    <t>Josephus Saragosa</t>
  </si>
  <si>
    <t>Johnny Nuera</t>
  </si>
  <si>
    <t>Mark Anthony Lapaz</t>
  </si>
  <si>
    <t>Ritchie Saldom</t>
  </si>
  <si>
    <t>Henry Amang</t>
  </si>
  <si>
    <t>Renel Canoy</t>
  </si>
  <si>
    <t>Roy Deliman</t>
  </si>
  <si>
    <t>Joseph Maputol</t>
  </si>
  <si>
    <t>Warren Resma</t>
  </si>
  <si>
    <t>Reynel Campoamor</t>
  </si>
  <si>
    <t>Ranny Boy Baril</t>
  </si>
  <si>
    <t>Diosdado Ferrater</t>
  </si>
  <si>
    <t>Emilio Refugio</t>
  </si>
  <si>
    <t>Sabino Cajote</t>
  </si>
  <si>
    <t>Rey Maugdaug</t>
  </si>
  <si>
    <t>Esmeraldo Damayac</t>
  </si>
  <si>
    <t>Jaime Quirol</t>
  </si>
  <si>
    <t>Caimbang</t>
  </si>
  <si>
    <t>Hermie Jardenero</t>
  </si>
  <si>
    <t>Jay Kent Bitagan</t>
  </si>
  <si>
    <t>Emma Asucan</t>
  </si>
  <si>
    <t>Fernando Rosales</t>
  </si>
  <si>
    <t>Danilo Balonga</t>
  </si>
  <si>
    <t>Arturo Sugala</t>
  </si>
  <si>
    <t>Reynaldo Adlaon</t>
  </si>
  <si>
    <t>Arwin Maestre</t>
  </si>
  <si>
    <t>Gerson Rara</t>
  </si>
  <si>
    <t>Adriano Genabia</t>
  </si>
  <si>
    <t>Juana Lanoy</t>
  </si>
  <si>
    <t>Antonio Cayas Jr.</t>
  </si>
  <si>
    <t>Jessica Olandria</t>
  </si>
  <si>
    <t>Emiliano Loremia</t>
  </si>
  <si>
    <t>Ildefonso Loremia</t>
  </si>
  <si>
    <t>Teresita Mara</t>
  </si>
  <si>
    <t>Rodrigo Cailing</t>
  </si>
  <si>
    <t>Philbert Neneria</t>
  </si>
  <si>
    <t>Baogo</t>
  </si>
  <si>
    <t>Joel Lakinta</t>
  </si>
  <si>
    <t>Jay Bautista</t>
  </si>
  <si>
    <t>Asisclo Mabini</t>
  </si>
  <si>
    <t>Gemma Vistal</t>
  </si>
  <si>
    <t>Zenon Sanvictores</t>
  </si>
  <si>
    <r>
      <rPr>
        <sz val="11"/>
        <color theme="1"/>
        <rFont val="Calibri"/>
      </rPr>
      <t>Reno Da</t>
    </r>
    <r>
      <rPr>
        <sz val="11"/>
        <color theme="1"/>
        <rFont val="Calibri"/>
      </rPr>
      <t>ñas</t>
    </r>
  </si>
  <si>
    <t>Annalie Reyes</t>
  </si>
  <si>
    <t>Arsenio Paloma</t>
  </si>
  <si>
    <t>Bienvenido Quiao</t>
  </si>
  <si>
    <t>Tertulino Diez</t>
  </si>
  <si>
    <t>Renante Esto</t>
  </si>
  <si>
    <t>Beverly Polinar</t>
  </si>
  <si>
    <t>Melecio Moreno</t>
  </si>
  <si>
    <t>Marvin Bahinting</t>
  </si>
  <si>
    <t>Lumin Jala</t>
  </si>
  <si>
    <r>
      <rPr>
        <sz val="11"/>
        <color theme="1"/>
        <rFont val="Calibri"/>
      </rPr>
      <t>Ni</t>
    </r>
    <r>
      <rPr>
        <sz val="11"/>
        <color theme="1"/>
        <rFont val="Calibri"/>
      </rPr>
      <t>ño Galo</t>
    </r>
  </si>
  <si>
    <t>Carmelito Refugio</t>
  </si>
  <si>
    <t>Anastacio Balahay</t>
  </si>
  <si>
    <t>Leonardo Florenosos Jr.</t>
  </si>
  <si>
    <t>John Ryan Corsiga</t>
  </si>
  <si>
    <t>Ricardo Talaboc</t>
  </si>
  <si>
    <t>Mactan Airbase</t>
  </si>
  <si>
    <t>Loi Corsica</t>
  </si>
  <si>
    <t>Cristino Caballero</t>
  </si>
  <si>
    <t>Florencio Hernane</t>
  </si>
  <si>
    <t>Dalfon Sentillas</t>
  </si>
  <si>
    <t>Domingo Neneria</t>
  </si>
  <si>
    <t>Reynaldo Cabanig</t>
  </si>
  <si>
    <t>Carlito Opiala</t>
  </si>
  <si>
    <t>Kevin Pogoy</t>
  </si>
  <si>
    <r>
      <rPr>
        <sz val="11"/>
        <color theme="1"/>
        <rFont val="Calibri"/>
      </rPr>
      <t>Anastacio Ni</t>
    </r>
    <r>
      <rPr>
        <sz val="11"/>
        <color theme="1"/>
        <rFont val="Calibri"/>
      </rPr>
      <t>ñolas</t>
    </r>
  </si>
  <si>
    <t>Bernadette Dapar</t>
  </si>
  <si>
    <t>Dionesio Enad</t>
  </si>
  <si>
    <t>Edilberto Milagrosa</t>
  </si>
  <si>
    <t>Cherry Sarigumba</t>
  </si>
  <si>
    <t>Kankatak</t>
  </si>
  <si>
    <t>Jerry Boncales</t>
  </si>
  <si>
    <t>Simeon Sendrijas</t>
  </si>
  <si>
    <t>Meriam Retutas</t>
  </si>
  <si>
    <t>Nelson Suralta</t>
  </si>
  <si>
    <t>Bernard Tuquib</t>
  </si>
  <si>
    <t>Pob. Centro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</si>
  <si>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 </t>
    </r>
    <r>
      <rPr>
        <u/>
        <sz val="9"/>
        <color theme="1"/>
        <rFont val="Arial"/>
      </rPr>
      <t>448,696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</si>
  <si>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>19,950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</si>
  <si>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 xml:space="preserve">  49,000 pcs.</t>
    </r>
  </si>
  <si>
    <r>
      <rPr>
        <sz val="9"/>
        <color theme="1"/>
        <rFont val="Arial"/>
      </rPr>
      <t xml:space="preserve">Ornamental Fish: </t>
    </r>
    <r>
      <rPr>
        <u/>
        <sz val="9"/>
        <color theme="1"/>
        <rFont val="Arial"/>
      </rPr>
      <t xml:space="preserve">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</si>
  <si>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</si>
  <si>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</si>
  <si>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86,416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</si>
  <si>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11,800</t>
    </r>
  </si>
  <si>
    <t xml:space="preserve">            September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</si>
  <si>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178</t>
    </r>
  </si>
  <si>
    <t>Male: 102</t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</si>
  <si>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76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</si>
  <si>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17</t>
    </r>
  </si>
  <si>
    <t>Leonides Torrentira</t>
  </si>
  <si>
    <t>Anastacio Niñolas</t>
  </si>
  <si>
    <t>Ruth Cenabre</t>
  </si>
  <si>
    <t>Bobby Estorcon</t>
  </si>
  <si>
    <t>Magkaya</t>
  </si>
  <si>
    <t>Alpha Jane Sinajon</t>
  </si>
  <si>
    <t>Luciana Busalanan</t>
  </si>
  <si>
    <t>John Louie Talaugon</t>
  </si>
  <si>
    <t>Delia Dayuja</t>
  </si>
  <si>
    <t>Sendo Vales</t>
  </si>
  <si>
    <t>Junrey Dagundon</t>
  </si>
  <si>
    <t>Rolando Aurestila</t>
  </si>
  <si>
    <t>Peleg Candulfos</t>
  </si>
  <si>
    <t>Rito Torres</t>
  </si>
  <si>
    <t>Mario Nelson Suralta</t>
  </si>
  <si>
    <t>Nenita Mira</t>
  </si>
  <si>
    <t>Boy Pasegnahin</t>
  </si>
  <si>
    <t>Salvador</t>
  </si>
  <si>
    <t>Ursolo Taganahan</t>
  </si>
  <si>
    <t>Cabanbanan</t>
  </si>
  <si>
    <t>Dimiao</t>
  </si>
  <si>
    <t>Jayson Jamil</t>
  </si>
  <si>
    <t>Angelito Uy</t>
  </si>
  <si>
    <t>Siquijor, Siquijor</t>
  </si>
  <si>
    <t>Fernanda Palingcod</t>
  </si>
  <si>
    <t>Victoriano Lusica Jr.</t>
  </si>
  <si>
    <t>Bagumbayan</t>
  </si>
  <si>
    <t>Maricar Dumalhoron</t>
  </si>
  <si>
    <t>Adoc Cuba</t>
  </si>
  <si>
    <t>Edgar Carmona</t>
  </si>
  <si>
    <t>Mariza Teorina</t>
  </si>
  <si>
    <t>Lorenzo Andrade</t>
  </si>
  <si>
    <t>Luciano Cuaresma</t>
  </si>
  <si>
    <t>Romanito Mumar</t>
  </si>
  <si>
    <t>Ramel Sumagaysay</t>
  </si>
  <si>
    <t>Hernel Centinales</t>
  </si>
  <si>
    <t>Charina Degamo</t>
  </si>
  <si>
    <t>Saturnina Demo</t>
  </si>
  <si>
    <t>Kabiguhan</t>
  </si>
  <si>
    <t>Ronito Nuera</t>
  </si>
  <si>
    <t>Mike Dungo</t>
  </si>
  <si>
    <t>Camanayon</t>
  </si>
  <si>
    <t>Dave Marapon</t>
  </si>
  <si>
    <t>Oliver Tortuga</t>
  </si>
  <si>
    <t>Sabino Lanoy</t>
  </si>
  <si>
    <t>Noli Lanutan</t>
  </si>
  <si>
    <t>Melecia Poquita</t>
  </si>
  <si>
    <t>Vito Bañoc</t>
  </si>
  <si>
    <t>Jose Remoreras</t>
  </si>
  <si>
    <t>Wilson Adanza</t>
  </si>
  <si>
    <t>Cac</t>
  </si>
  <si>
    <t>Elizabeth Martin</t>
  </si>
  <si>
    <t>Burgos</t>
  </si>
  <si>
    <t>Rob Simpson</t>
  </si>
  <si>
    <t>Lucio Bautista</t>
  </si>
  <si>
    <t>Primo Brignas</t>
  </si>
  <si>
    <t>Gov. Boyles</t>
  </si>
  <si>
    <t>Mokey Dumadag</t>
  </si>
  <si>
    <t>Joseph Rexiel Pacaldo</t>
  </si>
  <si>
    <t>Leonard Trago</t>
  </si>
  <si>
    <t>San Ramon</t>
  </si>
  <si>
    <t>Jun Suarez</t>
  </si>
  <si>
    <t>Judith Maputol</t>
  </si>
  <si>
    <t>Cecile Virador</t>
  </si>
  <si>
    <t>Lolita Gamil</t>
  </si>
  <si>
    <t>Juan Vito</t>
  </si>
  <si>
    <t>Nelson Baluca</t>
  </si>
  <si>
    <t>Prudencio Belga</t>
  </si>
  <si>
    <t>Charity Suganob</t>
  </si>
  <si>
    <t>Imelda</t>
  </si>
  <si>
    <t>Arnel Selma</t>
  </si>
  <si>
    <t>Sagbayan sur</t>
  </si>
  <si>
    <t>Alma Avenido</t>
  </si>
  <si>
    <t>Tomas Laurito Jr.</t>
  </si>
  <si>
    <t>Isagani Divinagracia</t>
  </si>
  <si>
    <t>Antonio Antelicando</t>
  </si>
  <si>
    <t>Gregorio Pogoy Jr.</t>
  </si>
  <si>
    <t>Rolando Agang</t>
  </si>
  <si>
    <t>Ilihan Sur</t>
  </si>
  <si>
    <t>Lerma Uy</t>
  </si>
  <si>
    <t>Melodina Marapao</t>
  </si>
  <si>
    <t>Taloto</t>
  </si>
  <si>
    <t>Dods Adonis Sales</t>
  </si>
  <si>
    <t>Errol Malayao</t>
  </si>
  <si>
    <t>Nug-As</t>
  </si>
  <si>
    <t>Alcoy</t>
  </si>
  <si>
    <t>Jesusa Palma</t>
  </si>
  <si>
    <t>Merriam Avenido</t>
  </si>
  <si>
    <t>Metodio Dajalos</t>
  </si>
  <si>
    <t>Dusita</t>
  </si>
  <si>
    <t xml:space="preserve">Poblacion </t>
  </si>
  <si>
    <t>Raymond Mc Clinchey</t>
  </si>
  <si>
    <t>Medardo Aparece</t>
  </si>
  <si>
    <t>Donita Rose Serano</t>
  </si>
  <si>
    <t>Deuel Puracan</t>
  </si>
  <si>
    <t>Bobong Agbo</t>
  </si>
  <si>
    <t>Roniel Amila</t>
  </si>
  <si>
    <t>Veronico Ochea</t>
  </si>
  <si>
    <t>Ryle Tagsip</t>
  </si>
  <si>
    <t>Rolando Tuba</t>
  </si>
  <si>
    <t>Ramon Mejorada</t>
  </si>
  <si>
    <t>Emelda Daguinod</t>
  </si>
  <si>
    <t>Romualdo Bernaldez</t>
  </si>
  <si>
    <t>Eduardo Apa-ap</t>
  </si>
  <si>
    <t>Ricardo Limbago</t>
  </si>
  <si>
    <t>Nueva Vida Norte</t>
  </si>
  <si>
    <t>Romelo Bazar</t>
  </si>
  <si>
    <t>Charlie Jubane</t>
  </si>
  <si>
    <t>Bungahan</t>
  </si>
  <si>
    <t>Crescencio Biol</t>
  </si>
  <si>
    <t>Paterna Rasonable</t>
  </si>
  <si>
    <t>Jayson Llorente</t>
  </si>
  <si>
    <t xml:space="preserve">Nelson Orcullo </t>
  </si>
  <si>
    <t>Mary Jane Alinas</t>
  </si>
  <si>
    <t>Whardee Crencia</t>
  </si>
  <si>
    <t>Hambabauran</t>
  </si>
  <si>
    <t>Cindy Lou Crencia</t>
  </si>
  <si>
    <t>Eleazar Doydora</t>
  </si>
  <si>
    <t>Marcelino Castro</t>
  </si>
  <si>
    <t>Camambugan</t>
  </si>
  <si>
    <t>Crospero Lagura</t>
  </si>
  <si>
    <t>Ricky Asilo</t>
  </si>
  <si>
    <t>Geraldine Hinacay</t>
  </si>
  <si>
    <t>Guinacot</t>
  </si>
  <si>
    <t>Victoriano Crescencio</t>
  </si>
  <si>
    <t>Dennis Supisa</t>
  </si>
  <si>
    <t>Venice Christine Agbon</t>
  </si>
  <si>
    <t>D1</t>
  </si>
  <si>
    <t>D2</t>
  </si>
  <si>
    <t>D3</t>
  </si>
  <si>
    <t>9/23/2019</t>
  </si>
  <si>
    <t xml:space="preserve">Jun Niñeza </t>
  </si>
  <si>
    <t>ornamental</t>
  </si>
  <si>
    <t>sold</t>
  </si>
  <si>
    <t>Alberto Dalogdog</t>
  </si>
  <si>
    <t>tilapia</t>
  </si>
  <si>
    <t>Kenneth Mellomida</t>
  </si>
  <si>
    <t>dispersed</t>
  </si>
  <si>
    <t>Rolen Buna</t>
  </si>
  <si>
    <t>Marcelo Dalogdog</t>
  </si>
  <si>
    <t>Rensis Quiño</t>
  </si>
  <si>
    <t>Rez James Bongato</t>
  </si>
  <si>
    <t>Jerwin Niepes</t>
  </si>
  <si>
    <t>Lance Belisario</t>
  </si>
  <si>
    <t>Michael Linogao</t>
  </si>
  <si>
    <t>Paul Rey Somosot</t>
  </si>
  <si>
    <t>Roy Tahanlangit</t>
  </si>
  <si>
    <t>Angelito Tajale</t>
  </si>
  <si>
    <t>Kein Vincent Remoreras</t>
  </si>
  <si>
    <t>Macedonia Lucking</t>
  </si>
  <si>
    <t>John Paul Estoce</t>
  </si>
  <si>
    <t>Lonoy Cainsican</t>
  </si>
  <si>
    <t>Augusto Causin</t>
  </si>
  <si>
    <t>Adelo Vistal</t>
  </si>
  <si>
    <t>Jesus Omac</t>
  </si>
  <si>
    <t>Reymundo Oliveros</t>
  </si>
  <si>
    <t>Nicasio Jumawid</t>
  </si>
  <si>
    <t>Darwin Viador</t>
  </si>
  <si>
    <t>Dennis Libot</t>
  </si>
  <si>
    <t>Norito Torres</t>
  </si>
  <si>
    <t>9/24/2019</t>
  </si>
  <si>
    <t>Felisa Boyles</t>
  </si>
  <si>
    <t>Pres. Garcia</t>
  </si>
  <si>
    <t>ornamenta</t>
  </si>
  <si>
    <t>100 sold</t>
  </si>
  <si>
    <t>1000 dispersed</t>
  </si>
  <si>
    <t>Jose Mendez</t>
  </si>
  <si>
    <t>9/25/2019</t>
  </si>
  <si>
    <t>Lurey Jaculba</t>
  </si>
  <si>
    <t>Samuel Yamola</t>
  </si>
  <si>
    <t>Leonardo Balili</t>
  </si>
  <si>
    <t>Primo Cemine</t>
  </si>
  <si>
    <t>Daryl Canda</t>
  </si>
  <si>
    <t>9/26/2019</t>
  </si>
  <si>
    <t>Alvin Tranquilan</t>
  </si>
  <si>
    <t>Virgilio Buslon</t>
  </si>
  <si>
    <t>Jee Jumamoy</t>
  </si>
  <si>
    <t>Felipe Nuyad</t>
  </si>
  <si>
    <t>Clarin Agri-Fair</t>
  </si>
  <si>
    <t>211 kls@80.00/kl</t>
  </si>
  <si>
    <t>9/27/2019</t>
  </si>
  <si>
    <t>Merlyn Lupian</t>
  </si>
  <si>
    <t>24 kls@80.00</t>
  </si>
  <si>
    <t>marketable tilapia</t>
  </si>
  <si>
    <t>238 kgs</t>
  </si>
  <si>
    <t>Ester Vaño</t>
  </si>
  <si>
    <t>3 kls@80.00</t>
  </si>
  <si>
    <t>Joel Algodon</t>
  </si>
  <si>
    <t>Albert Llanto</t>
  </si>
  <si>
    <t>Ronald Lontoc</t>
  </si>
  <si>
    <t>9/28/2019</t>
  </si>
  <si>
    <t>Elmer Malig-on</t>
  </si>
  <si>
    <t>18 kls@80.00/kl</t>
  </si>
  <si>
    <t>Niño Lamocso</t>
  </si>
  <si>
    <t>Silvano Bautista</t>
  </si>
  <si>
    <t>marketable Til.</t>
  </si>
  <si>
    <t>18kgs</t>
  </si>
  <si>
    <t>Jimmy Curimatmat</t>
  </si>
  <si>
    <t>9/29/2019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</si>
  <si>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 xml:space="preserve"> </t>
    </r>
    <r>
      <rPr>
        <sz val="9"/>
        <color theme="1"/>
        <rFont val="Arial"/>
      </rPr>
      <t xml:space="preserve"> </t>
    </r>
    <r>
      <rPr>
        <u/>
        <sz val="9"/>
        <color theme="1"/>
        <rFont val="Arial"/>
      </rPr>
      <t>284,900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</si>
  <si>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>68,300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</si>
  <si>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 xml:space="preserve">  25,700 pcs.</t>
    </r>
  </si>
  <si>
    <r>
      <rPr>
        <sz val="9"/>
        <color theme="1"/>
        <rFont val="Arial"/>
      </rPr>
      <t xml:space="preserve">Ornamental Fish:  </t>
    </r>
    <r>
      <rPr>
        <u/>
        <sz val="9"/>
        <color theme="1"/>
        <rFont val="Arial"/>
      </rPr>
      <t>2,488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</si>
  <si>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</si>
  <si>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</si>
  <si>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r>
      <rPr>
        <sz val="9"/>
        <color theme="1"/>
        <rFont val="Arial"/>
      </rPr>
      <t xml:space="preserve">  Freshwater: </t>
    </r>
    <r>
      <rPr>
        <u/>
        <sz val="9"/>
        <color theme="1"/>
        <rFont val="Arial"/>
      </rPr>
      <t>97,590</t>
    </r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</si>
  <si>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16,800</t>
    </r>
  </si>
  <si>
    <t xml:space="preserve">            October 2019</t>
  </si>
  <si>
    <r>
      <rPr>
        <sz val="10"/>
        <color theme="1"/>
        <rFont val="Arial"/>
      </rPr>
      <t xml:space="preserve">Total No. Of Beneficiaries: </t>
    </r>
    <r>
      <rPr>
        <u/>
        <sz val="10"/>
        <color theme="1"/>
        <rFont val="Arial"/>
      </rPr>
      <t xml:space="preserve"> </t>
    </r>
  </si>
  <si>
    <t xml:space="preserve">Male: </t>
  </si>
  <si>
    <r>
      <rPr>
        <sz val="10"/>
        <color theme="1"/>
        <rFont val="Arial"/>
      </rPr>
      <t xml:space="preserve">Female: </t>
    </r>
    <r>
      <rPr>
        <u/>
        <sz val="10"/>
        <color theme="1"/>
        <rFont val="Arial"/>
      </rPr>
      <t xml:space="preserve"> </t>
    </r>
  </si>
  <si>
    <r>
      <rPr>
        <sz val="10"/>
        <color theme="1"/>
        <rFont val="Arial"/>
      </rPr>
      <t xml:space="preserve">Others:(S.C./PWD) </t>
    </r>
    <r>
      <rPr>
        <u/>
        <sz val="10"/>
        <color theme="1"/>
        <rFont val="Arial"/>
      </rPr>
      <t xml:space="preserve"> </t>
    </r>
  </si>
  <si>
    <t>Merlyn Tajale</t>
  </si>
  <si>
    <t>Emie Rulida</t>
  </si>
  <si>
    <t>Lily Cabrera</t>
  </si>
  <si>
    <t>Mary Jean Aparre</t>
  </si>
  <si>
    <t>Mely Kadayday</t>
  </si>
  <si>
    <t>144 kls@80.00/kl.</t>
  </si>
  <si>
    <t>Isaac Asucan</t>
  </si>
  <si>
    <t>Benjamin Cuadrasal</t>
  </si>
  <si>
    <t>Panggangan</t>
  </si>
  <si>
    <r>
      <rPr>
        <sz val="11"/>
        <color theme="1"/>
        <rFont val="Calibri"/>
      </rPr>
      <t>Felipe Mascari</t>
    </r>
    <r>
      <rPr>
        <sz val="11"/>
        <color theme="1"/>
        <rFont val="Calibri"/>
      </rPr>
      <t>ñas</t>
    </r>
  </si>
  <si>
    <t>Dennis Ugpo</t>
  </si>
  <si>
    <t>Placido Estillore</t>
  </si>
  <si>
    <t>Maricel Shaffe</t>
  </si>
  <si>
    <t>Ian Lanit</t>
  </si>
  <si>
    <t>Anatalio Jamil</t>
  </si>
  <si>
    <t>Benjie Pacatang</t>
  </si>
  <si>
    <t>Ranulfo Lao</t>
  </si>
  <si>
    <t>Jose Cyrus Lobrigas</t>
  </si>
  <si>
    <t>Aligway</t>
  </si>
  <si>
    <t>Rony Milagrosa</t>
  </si>
  <si>
    <t>Nilo Ombay</t>
  </si>
  <si>
    <t>Del Carmen</t>
  </si>
  <si>
    <t>Cris Amodia</t>
  </si>
  <si>
    <t>Antonio Macua</t>
  </si>
  <si>
    <t>Bonifacio Abatayo</t>
  </si>
  <si>
    <t>Cesar Tadle</t>
  </si>
  <si>
    <t>Bactol</t>
  </si>
  <si>
    <t>Marivic Lumagod</t>
  </si>
  <si>
    <t>Catalina Baculpo</t>
  </si>
  <si>
    <t>Cosme Torrenueva</t>
  </si>
  <si>
    <t>Kawag</t>
  </si>
  <si>
    <t>Ruso Zaragosa</t>
  </si>
  <si>
    <t>Florante Silagan</t>
  </si>
  <si>
    <t>Bagtik</t>
  </si>
  <si>
    <t>Eduardo Abanto</t>
  </si>
  <si>
    <t>Rodrigo Painagan</t>
  </si>
  <si>
    <r>
      <rPr>
        <sz val="11"/>
        <color theme="1"/>
        <rFont val="Calibri"/>
      </rPr>
      <t>Panfilo Nu</t>
    </r>
    <r>
      <rPr>
        <sz val="11"/>
        <color theme="1"/>
        <rFont val="Calibri"/>
      </rPr>
      <t>ñez</t>
    </r>
  </si>
  <si>
    <t>Mary Ann Olaivar</t>
  </si>
  <si>
    <t>Sergio Macabudbud</t>
  </si>
  <si>
    <t>Arnel Diez</t>
  </si>
  <si>
    <t>Anthony Bugas</t>
  </si>
  <si>
    <t>Agustine Dollera</t>
  </si>
  <si>
    <t>Victor Bantugan</t>
  </si>
  <si>
    <t>Bliss Malitbog</t>
  </si>
  <si>
    <t>Southern Leyte</t>
  </si>
  <si>
    <t>Maly dela Cruz</t>
  </si>
  <si>
    <r>
      <rPr>
        <sz val="11"/>
        <color theme="1"/>
        <rFont val="Calibri"/>
      </rPr>
      <t>Santiago A</t>
    </r>
    <r>
      <rPr>
        <sz val="11"/>
        <color theme="1"/>
        <rFont val="Calibri"/>
      </rPr>
      <t>ños</t>
    </r>
  </si>
  <si>
    <t>Corte Baud</t>
  </si>
  <si>
    <t>Victor Ancog</t>
  </si>
  <si>
    <t>Maricar Dumalaoran</t>
  </si>
  <si>
    <t>Rosalina Milagrosa</t>
  </si>
  <si>
    <t>Lito Manatad</t>
  </si>
  <si>
    <t>Juvelen Anto</t>
  </si>
  <si>
    <t>Jessie Tesio</t>
  </si>
  <si>
    <t>Joel Torrentira</t>
  </si>
  <si>
    <t>Emegdio Baylon</t>
  </si>
  <si>
    <t>Roldan Mata</t>
  </si>
  <si>
    <t>Romulo Mata</t>
  </si>
  <si>
    <t>Alfred Avanzado</t>
  </si>
  <si>
    <t>Samuel Sumalinog</t>
  </si>
  <si>
    <t>Artemio Durante Jr.</t>
  </si>
  <si>
    <t>Ignacio Rendon</t>
  </si>
  <si>
    <t>Bryan Gambe</t>
  </si>
  <si>
    <t>Dephalne Peter Aloy</t>
  </si>
  <si>
    <t>Edgar Lomocho</t>
  </si>
  <si>
    <t>Cansague Sur</t>
  </si>
  <si>
    <t>Marieta Piandong</t>
  </si>
  <si>
    <t>Eusebio Cabel Jr.</t>
  </si>
  <si>
    <t>John Carlo Hilot</t>
  </si>
  <si>
    <t>Ma. Liza Sena</t>
  </si>
  <si>
    <t>Garey Amihan</t>
  </si>
  <si>
    <t>Rex Malaran</t>
  </si>
  <si>
    <t>Claudio Sapid</t>
  </si>
  <si>
    <t>Romeo Aninipot</t>
  </si>
  <si>
    <t>Abdon Cutarra</t>
  </si>
  <si>
    <t>Dioscoro Espinal</t>
  </si>
  <si>
    <t>Cahayag Pangangan</t>
  </si>
  <si>
    <t>Kim Cobacha</t>
  </si>
  <si>
    <t>Bonot-bonot</t>
  </si>
  <si>
    <t>Elmer Lucrecin</t>
  </si>
  <si>
    <t>Crisly Raot-raot</t>
  </si>
  <si>
    <t>Dao</t>
  </si>
  <si>
    <t>Tagbilaran</t>
  </si>
  <si>
    <t>Zenaida Pesanos</t>
  </si>
  <si>
    <t>John Louise Talaugon</t>
  </si>
  <si>
    <t>Anastacia Omania</t>
  </si>
  <si>
    <t>Joel Morales</t>
  </si>
  <si>
    <t>Gorordo Avenue</t>
  </si>
  <si>
    <t>Zenaida Pelino</t>
  </si>
  <si>
    <t>Nazareno Rejas</t>
  </si>
  <si>
    <t>Lowelito Butron</t>
  </si>
  <si>
    <t>Virginia Añabieza</t>
  </si>
  <si>
    <t>Reymond Udtohan</t>
  </si>
  <si>
    <t>Gerry Café</t>
  </si>
  <si>
    <t>Dioscoro Loremia</t>
  </si>
  <si>
    <t>Felisa Galero</t>
  </si>
  <si>
    <t>Edgar Cloma</t>
  </si>
  <si>
    <t>Loi Bernales</t>
  </si>
  <si>
    <t>Hermelina Aragon</t>
  </si>
  <si>
    <t xml:space="preserve">Bicao </t>
  </si>
  <si>
    <t>Rey Benitez</t>
  </si>
  <si>
    <t>Lea Limpot</t>
  </si>
  <si>
    <t>Poblacion Veja</t>
  </si>
  <si>
    <t>Jose Polinar</t>
  </si>
  <si>
    <t>Poblacion Norte</t>
  </si>
  <si>
    <t>Romeo Vargas</t>
  </si>
  <si>
    <t>Eusebio Ajoc</t>
  </si>
  <si>
    <t>Isidro Morales</t>
  </si>
  <si>
    <t>Alexander Mulato</t>
  </si>
  <si>
    <t>koi</t>
  </si>
  <si>
    <t>Urcisio Logroño</t>
  </si>
  <si>
    <t>Baluarte</t>
  </si>
  <si>
    <t>swordtail</t>
  </si>
  <si>
    <t>Elmer Igcalinos</t>
  </si>
  <si>
    <t>La Libertad</t>
  </si>
  <si>
    <t>Ubojan</t>
  </si>
  <si>
    <t>Rosalio Aragon</t>
  </si>
  <si>
    <t>Anthony Janiola</t>
  </si>
  <si>
    <t>Ma. Fe Miñoza</t>
  </si>
  <si>
    <t>JA Clarin St.</t>
  </si>
  <si>
    <t>Ramil Sumagaysay</t>
  </si>
  <si>
    <t>Ritche Saldom</t>
  </si>
  <si>
    <t>Oscar Tiongson</t>
  </si>
  <si>
    <t>Dennis Sequeña</t>
  </si>
  <si>
    <t>Michael Alo</t>
  </si>
  <si>
    <t>Baokan</t>
  </si>
  <si>
    <t>Ondo Buhayang</t>
  </si>
  <si>
    <t>Michael Amora</t>
  </si>
  <si>
    <t>Arnold Cagas</t>
  </si>
  <si>
    <t>Arpon Gregorio</t>
  </si>
  <si>
    <t>Carlito Jamora</t>
  </si>
  <si>
    <t>Joseph Digawa</t>
  </si>
  <si>
    <t xml:space="preserve">Baang </t>
  </si>
  <si>
    <t>Renato Cutaran</t>
  </si>
  <si>
    <t>Venerando Auxillo</t>
  </si>
  <si>
    <t>Alma Centillas</t>
  </si>
  <si>
    <t>Puting Bato</t>
  </si>
  <si>
    <t>Ruel Limocon</t>
  </si>
  <si>
    <t>Aireen Agora</t>
  </si>
  <si>
    <t>Erwin Agohob</t>
  </si>
  <si>
    <t>Johnny Cañete</t>
  </si>
  <si>
    <t>Raul Tiongson</t>
  </si>
  <si>
    <t>Richard Cuyno</t>
  </si>
  <si>
    <t>La union</t>
  </si>
  <si>
    <t>Sergio Lorono</t>
  </si>
  <si>
    <t>Cogtong</t>
  </si>
  <si>
    <t>Jonas Boco</t>
  </si>
  <si>
    <t>Jun Quinal</t>
  </si>
  <si>
    <t>Tabok</t>
  </si>
  <si>
    <t>Leonardo Rulida</t>
  </si>
  <si>
    <t>Jose Manlangit</t>
  </si>
  <si>
    <t>Tommy Wagwag</t>
  </si>
  <si>
    <t>Jovelton Aranas</t>
  </si>
  <si>
    <t>Joventino Aspe</t>
  </si>
  <si>
    <t>Mariciris Sagpang</t>
  </si>
  <si>
    <t>Nestor Polinar</t>
  </si>
  <si>
    <t>Cantuyoc</t>
  </si>
  <si>
    <t>Lucio Oñes</t>
  </si>
  <si>
    <t>Buktol</t>
  </si>
  <si>
    <t>Christine Cardinas</t>
  </si>
  <si>
    <t>Jun Dumandan</t>
  </si>
  <si>
    <t>Reinerio Remoreras</t>
  </si>
  <si>
    <t>Eusebio Estorpe</t>
  </si>
  <si>
    <t>Benjamen Acebu</t>
  </si>
  <si>
    <t>Ducita</t>
  </si>
  <si>
    <t>Ray Torbeso</t>
  </si>
  <si>
    <t>Sibonga</t>
  </si>
  <si>
    <t>Pacita Juanich</t>
  </si>
  <si>
    <t>Joel Muñoz</t>
  </si>
  <si>
    <t>Tuntonan</t>
  </si>
  <si>
    <t>Gamaliel Arawiran</t>
  </si>
  <si>
    <t>Bayangan</t>
  </si>
  <si>
    <t>Ronald Navaro</t>
  </si>
  <si>
    <t>Elmer Lucrecia</t>
  </si>
  <si>
    <t>Bohol</t>
  </si>
  <si>
    <t>Samuel Sumipo</t>
  </si>
  <si>
    <t>Joseph Esmalin</t>
  </si>
  <si>
    <t>Edwin Albores</t>
  </si>
  <si>
    <t>Terso Cerecio</t>
  </si>
  <si>
    <t>Roldan Buno</t>
  </si>
  <si>
    <t>Noel Ranay</t>
  </si>
  <si>
    <t>Johanne Gultiano</t>
  </si>
  <si>
    <t xml:space="preserve">Ubujan </t>
  </si>
  <si>
    <t>Johnrey Plaza</t>
  </si>
  <si>
    <t>Paul John Regis</t>
  </si>
  <si>
    <t>Damicino Calacat</t>
  </si>
  <si>
    <t>Guinoguitan</t>
  </si>
  <si>
    <t>Geoffrey Cepedoza</t>
  </si>
  <si>
    <t>Alexander Lacea</t>
  </si>
  <si>
    <t>Beda Pombo</t>
  </si>
  <si>
    <t>Farrah de Jose</t>
  </si>
  <si>
    <t>Saturino Lingatong</t>
  </si>
  <si>
    <t>Perlita</t>
  </si>
  <si>
    <t>Bulogio Igcalinos</t>
  </si>
  <si>
    <t>Triple union</t>
  </si>
  <si>
    <t>Daniel Degamo</t>
  </si>
  <si>
    <t>Alex Palapar</t>
  </si>
  <si>
    <t>Bagong</t>
  </si>
  <si>
    <t>Khem Opara</t>
  </si>
  <si>
    <t>Bartolome Gulio</t>
  </si>
  <si>
    <t>James Henrie Cano</t>
  </si>
  <si>
    <t>Joel Derraco</t>
  </si>
  <si>
    <t>Reyna Mera Apao</t>
  </si>
  <si>
    <t>Kabawan</t>
  </si>
  <si>
    <t>Rogelio Jagunos</t>
  </si>
  <si>
    <t>Sinakayanan</t>
  </si>
  <si>
    <t>Marcos Samorano Jr.</t>
  </si>
  <si>
    <t>Poblacion Vieja</t>
  </si>
  <si>
    <t>Daniel Tolon</t>
  </si>
  <si>
    <t>Cantumimbo</t>
  </si>
  <si>
    <t>Romulo Calapaun</t>
  </si>
  <si>
    <t>Lourdes Macabudbud</t>
  </si>
  <si>
    <t>Emelio Lanoy Jr.</t>
  </si>
  <si>
    <t>Danahao</t>
  </si>
  <si>
    <t>Jeanny Omega</t>
  </si>
  <si>
    <t>Jonecer Adolfo</t>
  </si>
  <si>
    <t>Cambailan</t>
  </si>
  <si>
    <t>Rey Bolanoy</t>
  </si>
  <si>
    <t>Melodina Melliza</t>
  </si>
  <si>
    <t>Ma. Chona Hoyle</t>
  </si>
  <si>
    <t>Dodong Suaybaguio</t>
  </si>
  <si>
    <t>Sta Cruz</t>
  </si>
  <si>
    <t>Romulo Digal</t>
  </si>
  <si>
    <r>
      <rPr>
        <sz val="9"/>
        <color theme="1"/>
        <rFont val="Arial"/>
      </rPr>
      <t xml:space="preserve">Direct Client: </t>
    </r>
    <r>
      <rPr>
        <u/>
        <sz val="9"/>
        <color theme="1"/>
        <rFont val="Arial"/>
      </rPr>
      <t>440,550 pcs.</t>
    </r>
  </si>
  <si>
    <r>
      <rPr>
        <sz val="9"/>
        <color theme="1"/>
        <rFont val="Arial"/>
      </rPr>
      <t xml:space="preserve">Coordinating Office: </t>
    </r>
    <r>
      <rPr>
        <u/>
        <sz val="9"/>
        <color theme="1"/>
        <rFont val="Arial"/>
      </rPr>
      <t xml:space="preserve"> 88,400 pcs.</t>
    </r>
  </si>
  <si>
    <r>
      <rPr>
        <sz val="9"/>
        <color theme="1"/>
        <rFont val="Arial"/>
      </rPr>
      <t xml:space="preserve">C. Carp: </t>
    </r>
    <r>
      <rPr>
        <u/>
        <sz val="9"/>
        <color theme="1"/>
        <rFont val="Arial"/>
      </rPr>
      <t>280 pcs.</t>
    </r>
  </si>
  <si>
    <r>
      <rPr>
        <sz val="9"/>
        <color theme="1"/>
        <rFont val="Arial"/>
      </rPr>
      <t xml:space="preserve">Ornamental Fish:  </t>
    </r>
    <r>
      <rPr>
        <u/>
        <sz val="9"/>
        <color theme="1"/>
        <rFont val="Arial"/>
      </rPr>
      <t>1,194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</si>
  <si>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</si>
  <si>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>Freshwater Prawn:</t>
    </r>
    <r>
      <rPr>
        <u/>
        <sz val="9"/>
        <color theme="1"/>
        <rFont val="Arial"/>
      </rPr>
      <t xml:space="preserve"> 0</t>
    </r>
  </si>
  <si>
    <t xml:space="preserve">  Freshwater: </t>
  </si>
  <si>
    <r>
      <rPr>
        <sz val="9"/>
        <color theme="1"/>
        <rFont val="Arial"/>
      </rPr>
      <t xml:space="preserve">  Brackishwater: </t>
    </r>
    <r>
      <rPr>
        <u/>
        <sz val="9"/>
        <color theme="1"/>
        <rFont val="Arial"/>
      </rPr>
      <t xml:space="preserve"> </t>
    </r>
  </si>
  <si>
    <t>SC/PWD</t>
  </si>
  <si>
    <t xml:space="preserve">            November 2019</t>
  </si>
  <si>
    <r>
      <rPr>
        <sz val="10"/>
        <color theme="1"/>
        <rFont val="Arial"/>
      </rPr>
      <t xml:space="preserve">Total No. Of Beneficiaries:  </t>
    </r>
    <r>
      <rPr>
        <b/>
        <u/>
        <sz val="10"/>
        <color theme="1"/>
        <rFont val="Arial"/>
      </rPr>
      <t>157</t>
    </r>
  </si>
  <si>
    <r>
      <rPr>
        <sz val="10"/>
        <color theme="1"/>
        <rFont val="Arial"/>
      </rPr>
      <t xml:space="preserve">Male: </t>
    </r>
    <r>
      <rPr>
        <b/>
        <u/>
        <sz val="10"/>
        <color theme="1"/>
        <rFont val="Arial"/>
      </rPr>
      <t>137</t>
    </r>
  </si>
  <si>
    <r>
      <rPr>
        <sz val="10"/>
        <color theme="1"/>
        <rFont val="Arial"/>
      </rPr>
      <t xml:space="preserve">Female: </t>
    </r>
    <r>
      <rPr>
        <b/>
        <u/>
        <sz val="10"/>
        <color theme="1"/>
        <rFont val="Arial"/>
      </rPr>
      <t>20</t>
    </r>
  </si>
  <si>
    <r>
      <rPr>
        <sz val="10"/>
        <color theme="1"/>
        <rFont val="Arial"/>
      </rPr>
      <t xml:space="preserve">Others:(S.C./PWD) </t>
    </r>
    <r>
      <rPr>
        <b/>
        <u/>
        <sz val="10"/>
        <color theme="1"/>
        <rFont val="Arial"/>
      </rPr>
      <t>13</t>
    </r>
  </si>
  <si>
    <t>Calixto Unabia</t>
  </si>
  <si>
    <t>Roel Omamalin</t>
  </si>
  <si>
    <t>Banahao</t>
  </si>
  <si>
    <t>Koi Carp</t>
  </si>
  <si>
    <t>Black molly</t>
  </si>
  <si>
    <t>Fernando Perejan</t>
  </si>
  <si>
    <t>Nueva Montaña</t>
  </si>
  <si>
    <t>Zyra Mar Malaran</t>
  </si>
  <si>
    <t>Marcelo Orioque</t>
  </si>
  <si>
    <t>Cang-Iras</t>
  </si>
  <si>
    <t>Generoso Lacea</t>
  </si>
  <si>
    <t>Alfredo Balbiran</t>
  </si>
  <si>
    <t>Monico Gonzaga</t>
  </si>
  <si>
    <t>Carbon</t>
  </si>
  <si>
    <t>Cornelia Gonzaga</t>
  </si>
  <si>
    <t>Junbert Gudes</t>
  </si>
  <si>
    <t>Tambooc</t>
  </si>
  <si>
    <t>Sword tail</t>
  </si>
  <si>
    <t>Gomer Pacatang</t>
  </si>
  <si>
    <t>Anastacia Omaña</t>
  </si>
  <si>
    <t>Irene Agura</t>
  </si>
  <si>
    <t>Arwin Quiño</t>
  </si>
  <si>
    <t>Bienvenido Escabas</t>
  </si>
  <si>
    <t>Ricardo Ceniza</t>
  </si>
  <si>
    <t>Aiken Esoy</t>
  </si>
  <si>
    <t>Retchie Saldom</t>
  </si>
  <si>
    <t>Restetuto Patac</t>
  </si>
  <si>
    <t>Bagtic</t>
  </si>
  <si>
    <t>Jovani Samijon</t>
  </si>
  <si>
    <t>Carlito Salise</t>
  </si>
  <si>
    <t>Boy Yagong</t>
  </si>
  <si>
    <t>Ben Nuez</t>
  </si>
  <si>
    <t>Ben Gubat</t>
  </si>
  <si>
    <t>Jun Buaya</t>
  </si>
  <si>
    <t>German Boquil</t>
  </si>
  <si>
    <t>Candasig</t>
  </si>
  <si>
    <t>Edgar Pagas</t>
  </si>
  <si>
    <t>Tan-awan</t>
  </si>
  <si>
    <t>Jose Janotan</t>
  </si>
  <si>
    <t>Gerry Mulan</t>
  </si>
  <si>
    <t>Venancio Hoyle</t>
  </si>
  <si>
    <t>Ronnie Rulona</t>
  </si>
  <si>
    <t>Epifanio Jaum Jr.</t>
  </si>
  <si>
    <t>Catalino Degamo</t>
  </si>
  <si>
    <t>Romeo Salubre</t>
  </si>
  <si>
    <t>Ganemar darunday</t>
  </si>
  <si>
    <t>Eusebio Cabel</t>
  </si>
  <si>
    <t>Bebo Florente</t>
  </si>
  <si>
    <t>Efren dela Torre</t>
  </si>
  <si>
    <t>Cagay-an</t>
  </si>
  <si>
    <t>Roberto Birando</t>
  </si>
  <si>
    <t>Rosalina Sagliba</t>
  </si>
  <si>
    <t>Narciso Adlaon</t>
  </si>
  <si>
    <t>Ian Crisologo Sagliba</t>
  </si>
  <si>
    <t>Ronie Galo</t>
  </si>
  <si>
    <t>Jephunner Husayan</t>
  </si>
  <si>
    <t>Allan Valle</t>
  </si>
  <si>
    <t>Balilohan</t>
  </si>
  <si>
    <t>Niño Ladera</t>
  </si>
  <si>
    <t>Ariel Uy</t>
  </si>
  <si>
    <t>El John Isulat</t>
  </si>
  <si>
    <t>Fedil Vito</t>
  </si>
  <si>
    <t>Natalio Baja</t>
  </si>
  <si>
    <t>West Ubujan</t>
  </si>
  <si>
    <t>Veronica Suazo</t>
  </si>
  <si>
    <t>Gen. Boyles</t>
  </si>
  <si>
    <t>Alan Taakon</t>
  </si>
  <si>
    <t>Antonio Sario</t>
  </si>
  <si>
    <t>Salting</t>
  </si>
  <si>
    <t>Urcisio Lugroño</t>
  </si>
  <si>
    <t>Carlos Cueba</t>
  </si>
  <si>
    <t>Lucino Pandavilla</t>
  </si>
  <si>
    <t>Ariel Aplacador</t>
  </si>
  <si>
    <t>Marvin Sumampong</t>
  </si>
  <si>
    <t>Carlito Dumandan</t>
  </si>
  <si>
    <t>David Austero</t>
  </si>
  <si>
    <t>Renante Digamon</t>
  </si>
  <si>
    <t>Adolfo Lumagod</t>
  </si>
  <si>
    <t>Jacinto Bulawan</t>
  </si>
  <si>
    <t>Jesus Rosales</t>
  </si>
  <si>
    <t>Roel Lufranco</t>
  </si>
  <si>
    <t xml:space="preserve">La Union </t>
  </si>
  <si>
    <t>Rodrigo Estoria</t>
  </si>
  <si>
    <t>Datag</t>
  </si>
  <si>
    <t>Mario Tejada</t>
  </si>
  <si>
    <t>Pob Norte</t>
  </si>
  <si>
    <t>Rogelio Ombajin</t>
  </si>
  <si>
    <t>Cirila Ceniza</t>
  </si>
  <si>
    <t>Rodrigo Cajes</t>
  </si>
  <si>
    <t>Tagum Sur</t>
  </si>
  <si>
    <t>Lino Jumamil</t>
  </si>
  <si>
    <t>Limokon</t>
  </si>
  <si>
    <t>Leah Uy</t>
  </si>
  <si>
    <t>Perlita Cepedoza</t>
  </si>
  <si>
    <t>Dario Linogao</t>
  </si>
  <si>
    <t>Mario Sucuano</t>
  </si>
  <si>
    <t>Looc Pangangan</t>
  </si>
  <si>
    <t>Silvestere Mellonida</t>
  </si>
  <si>
    <t>Lolito Limpangog</t>
  </si>
  <si>
    <t>Alfred Igcalinos</t>
  </si>
  <si>
    <t>Zenaida Nambatac</t>
  </si>
  <si>
    <t>Pantaleon Jimenez</t>
  </si>
  <si>
    <t>Manga District</t>
  </si>
  <si>
    <t>Jemy Pojadas</t>
  </si>
  <si>
    <t>Causwagan Norte</t>
  </si>
  <si>
    <t>Lico-lico</t>
  </si>
  <si>
    <t>Juvy Serrano</t>
  </si>
  <si>
    <t>Pedro Añora</t>
  </si>
  <si>
    <t>Antonio Mancha</t>
  </si>
  <si>
    <t>Tracy Amor Vedra</t>
  </si>
  <si>
    <t>Eulo Añana</t>
  </si>
  <si>
    <t>Zoom</t>
  </si>
  <si>
    <t>Imelda Daguinod</t>
  </si>
  <si>
    <t>Rey Torrejano</t>
  </si>
  <si>
    <t>Victor Mercado</t>
  </si>
  <si>
    <t>Frankie caledo</t>
  </si>
  <si>
    <t>Babag Busay</t>
  </si>
  <si>
    <t>Isabel Rosales</t>
  </si>
  <si>
    <t>Joselito Carme</t>
  </si>
  <si>
    <t>Luis Jay Rulona</t>
  </si>
  <si>
    <t>Matin-aw</t>
  </si>
  <si>
    <t>Sierra  Bullones</t>
  </si>
  <si>
    <t>Ulang</t>
  </si>
  <si>
    <t>Ernesto Labor</t>
  </si>
  <si>
    <t>Mag-aso</t>
  </si>
  <si>
    <t>Gabriel Espejo</t>
  </si>
  <si>
    <t>Rolly Beroy</t>
  </si>
  <si>
    <t>Cantaub</t>
  </si>
  <si>
    <t>Alejandro Beroy</t>
  </si>
  <si>
    <t>Porferio Beroy</t>
  </si>
  <si>
    <t>Pedro Beroy</t>
  </si>
  <si>
    <t>Amancio Beroy</t>
  </si>
  <si>
    <t>Aser Tan</t>
  </si>
  <si>
    <t>Elesio Deligero</t>
  </si>
  <si>
    <t>Diosdado Cuba</t>
  </si>
  <si>
    <t>Sword Tail</t>
  </si>
  <si>
    <t>Ronald Mautatinay</t>
  </si>
  <si>
    <t>Cawayan</t>
  </si>
  <si>
    <t>Oliver Saure</t>
  </si>
  <si>
    <t>Relaido Baron</t>
  </si>
  <si>
    <t>Jason Degamo</t>
  </si>
  <si>
    <t>Marodin Servillejo</t>
  </si>
  <si>
    <t>Janette Socobos</t>
  </si>
  <si>
    <t>Erwin Agubob</t>
  </si>
  <si>
    <t>Cris Boñao</t>
  </si>
  <si>
    <t>Jhongjhette Salfucial</t>
  </si>
  <si>
    <t>Niresa Banga</t>
  </si>
  <si>
    <t>Manuel Organiza</t>
  </si>
  <si>
    <t>Rosayohan</t>
  </si>
  <si>
    <t>Urbano Dagangon</t>
  </si>
  <si>
    <t>Moises Sarong</t>
  </si>
  <si>
    <t>Cornelio Ingento</t>
  </si>
  <si>
    <t>Danielito Rublica</t>
  </si>
  <si>
    <t>Cabulihan</t>
  </si>
  <si>
    <t>Rubin Amarille</t>
  </si>
  <si>
    <t>Jeffrey Samson</t>
  </si>
  <si>
    <t>Alvin Dequit</t>
  </si>
  <si>
    <t>Arnel Enad</t>
  </si>
  <si>
    <t>Expedito Fragile</t>
  </si>
  <si>
    <r>
      <rPr>
        <sz val="9"/>
        <color theme="1"/>
        <rFont val="Arial"/>
      </rPr>
      <t xml:space="preserve">Direct Client: </t>
    </r>
    <r>
      <rPr>
        <b/>
        <u/>
        <sz val="9"/>
        <color theme="1"/>
        <rFont val="Arial"/>
      </rPr>
      <t>405,400 pcs.</t>
    </r>
  </si>
  <si>
    <r>
      <rPr>
        <sz val="9"/>
        <color theme="1"/>
        <rFont val="Arial"/>
      </rPr>
      <t xml:space="preserve">Coordinating Office: </t>
    </r>
    <r>
      <rPr>
        <b/>
        <u/>
        <sz val="9"/>
        <color theme="1"/>
        <rFont val="Arial"/>
      </rPr>
      <t>9,300 pcs.</t>
    </r>
  </si>
  <si>
    <r>
      <rPr>
        <sz val="9"/>
        <color theme="1"/>
        <rFont val="Arial"/>
      </rPr>
      <t xml:space="preserve">C. Carp: </t>
    </r>
    <r>
      <rPr>
        <b/>
        <u/>
        <sz val="9"/>
        <color theme="1"/>
        <rFont val="Arial"/>
      </rPr>
      <t>5,200 pcs.</t>
    </r>
  </si>
  <si>
    <r>
      <rPr>
        <sz val="9"/>
        <color theme="1"/>
        <rFont val="Arial"/>
      </rPr>
      <t xml:space="preserve">Ornamental Fish: </t>
    </r>
    <r>
      <rPr>
        <b/>
        <u/>
        <sz val="9"/>
        <color theme="1"/>
        <rFont val="Arial"/>
      </rPr>
      <t>1,598 pcs.</t>
    </r>
  </si>
  <si>
    <r>
      <rPr>
        <sz val="9"/>
        <color theme="1"/>
        <rFont val="Arial"/>
      </rPr>
      <t>Pangasius:</t>
    </r>
    <r>
      <rPr>
        <u/>
        <sz val="9"/>
        <color theme="1"/>
        <rFont val="Arial"/>
      </rPr>
      <t xml:space="preserve"> 0 </t>
    </r>
  </si>
  <si>
    <r>
      <rPr>
        <sz val="9"/>
        <color theme="1"/>
        <rFont val="Arial"/>
      </rPr>
      <t xml:space="preserve">Freshwater Prawn: </t>
    </r>
    <r>
      <rPr>
        <b/>
        <u/>
        <sz val="9"/>
        <color theme="1"/>
        <rFont val="Arial"/>
      </rPr>
      <t>500 pcs.</t>
    </r>
  </si>
  <si>
    <r>
      <rPr>
        <sz val="9"/>
        <color theme="1"/>
        <rFont val="Arial"/>
      </rPr>
      <t xml:space="preserve">  Freshwater: </t>
    </r>
    <r>
      <rPr>
        <b/>
        <u/>
        <sz val="9"/>
        <color theme="1"/>
        <rFont val="Arial"/>
      </rPr>
      <t>88,648</t>
    </r>
  </si>
  <si>
    <r>
      <rPr>
        <sz val="9"/>
        <color theme="1"/>
        <rFont val="Arial"/>
      </rPr>
      <t xml:space="preserve">  Brackishwater: </t>
    </r>
    <r>
      <rPr>
        <b/>
        <u/>
        <sz val="9"/>
        <color theme="1"/>
        <rFont val="Arial"/>
      </rPr>
      <t>41,500</t>
    </r>
  </si>
  <si>
    <t xml:space="preserve">            December 2019</t>
  </si>
  <si>
    <r>
      <rPr>
        <sz val="10"/>
        <color theme="1"/>
        <rFont val="Arial"/>
      </rPr>
      <t xml:space="preserve">Total No. Of Beneficiaries:  </t>
    </r>
    <r>
      <rPr>
        <b/>
        <u/>
        <sz val="10"/>
        <color theme="1"/>
        <rFont val="Arial"/>
      </rPr>
      <t>46</t>
    </r>
  </si>
  <si>
    <r>
      <rPr>
        <sz val="10"/>
        <color theme="1"/>
        <rFont val="Arial"/>
      </rPr>
      <t xml:space="preserve">Male: </t>
    </r>
    <r>
      <rPr>
        <b/>
        <u/>
        <sz val="10"/>
        <color theme="1"/>
        <rFont val="Arial"/>
      </rPr>
      <t>42</t>
    </r>
  </si>
  <si>
    <r>
      <rPr>
        <sz val="10"/>
        <color theme="1"/>
        <rFont val="Arial"/>
      </rPr>
      <t xml:space="preserve">Female: </t>
    </r>
    <r>
      <rPr>
        <b/>
        <u/>
        <sz val="10"/>
        <color theme="1"/>
        <rFont val="Arial"/>
      </rPr>
      <t>4</t>
    </r>
  </si>
  <si>
    <r>
      <rPr>
        <sz val="10"/>
        <color theme="1"/>
        <rFont val="Arial"/>
      </rPr>
      <t xml:space="preserve">Others:(S.C./PWD) </t>
    </r>
    <r>
      <rPr>
        <b/>
        <u/>
        <sz val="10"/>
        <color theme="1"/>
        <rFont val="Arial"/>
      </rPr>
      <t>9</t>
    </r>
  </si>
  <si>
    <t>Abalon Cutarra</t>
  </si>
  <si>
    <t>Kabigohan</t>
  </si>
  <si>
    <t>Jimmy Lumictin</t>
  </si>
  <si>
    <t>Michael Mendaña</t>
  </si>
  <si>
    <t>Jofel Manatad</t>
  </si>
  <si>
    <t>Julius Aranas</t>
  </si>
  <si>
    <t>Edgar Modina</t>
  </si>
  <si>
    <t>Modesto Balili</t>
  </si>
  <si>
    <t>Bahay-bahay</t>
  </si>
  <si>
    <t>Sidney Lugasip</t>
  </si>
  <si>
    <t>Danilo Pait</t>
  </si>
  <si>
    <t>Ian Cabalang</t>
  </si>
  <si>
    <t>William Zulueta</t>
  </si>
  <si>
    <t>Adrian Bulala</t>
  </si>
  <si>
    <t>Jose Jeffrey Andrade</t>
  </si>
  <si>
    <t>Loreto Ugpo</t>
  </si>
  <si>
    <t>Bayungan</t>
  </si>
  <si>
    <t>Noel dela Torre</t>
  </si>
  <si>
    <t>Jessel Gengoni</t>
  </si>
  <si>
    <t>Rudy Artiaga</t>
  </si>
  <si>
    <t>Jojo Cepedoza</t>
  </si>
  <si>
    <t>Boyong</t>
  </si>
  <si>
    <t>Enrique Gara</t>
  </si>
  <si>
    <t>Alger Deloso</t>
  </si>
  <si>
    <t>Constancio Catnice</t>
  </si>
  <si>
    <t>Ceresio Palma</t>
  </si>
  <si>
    <t>Kim Ancog</t>
  </si>
  <si>
    <t>Jonalyn Comaya</t>
  </si>
  <si>
    <t>Edgar Gelicame Jr.</t>
  </si>
  <si>
    <t>Cansubayon</t>
  </si>
  <si>
    <t>Kent Niones</t>
  </si>
  <si>
    <t>Rolando Gascon</t>
  </si>
  <si>
    <t>Alfie Sarcoaga</t>
  </si>
  <si>
    <t>Cesario Salingay</t>
  </si>
  <si>
    <t>Jessa May Nuera</t>
  </si>
  <si>
    <t>Exel Ninoza</t>
  </si>
  <si>
    <t>Jaime Añana</t>
  </si>
  <si>
    <t>Philip Piezas</t>
  </si>
  <si>
    <t>Norberto Udtohan</t>
  </si>
  <si>
    <t>Henry Hinay</t>
  </si>
  <si>
    <t>Junrey Lingamen</t>
  </si>
  <si>
    <t>Simeon Pesay</t>
  </si>
  <si>
    <t>Zacarias Pesay Jr.</t>
  </si>
  <si>
    <r>
      <rPr>
        <sz val="9"/>
        <color theme="1"/>
        <rFont val="Arial"/>
      </rPr>
      <t xml:space="preserve">Direct Client: </t>
    </r>
    <r>
      <rPr>
        <b/>
        <u/>
        <sz val="9"/>
        <color theme="1"/>
        <rFont val="Arial"/>
      </rPr>
      <t>153,000 pcs.</t>
    </r>
  </si>
  <si>
    <r>
      <rPr>
        <sz val="9"/>
        <color theme="1"/>
        <rFont val="Arial"/>
      </rPr>
      <t xml:space="preserve">Coordinating Office: </t>
    </r>
    <r>
      <rPr>
        <b/>
        <u/>
        <sz val="9"/>
        <color theme="1"/>
        <rFont val="Arial"/>
      </rPr>
      <t>20,200 pcs.</t>
    </r>
  </si>
  <si>
    <r>
      <rPr>
        <sz val="9"/>
        <color theme="1"/>
        <rFont val="Arial"/>
      </rPr>
      <t xml:space="preserve">C. Carp: </t>
    </r>
    <r>
      <rPr>
        <b/>
        <u/>
        <sz val="9"/>
        <color theme="1"/>
        <rFont val="Arial"/>
      </rPr>
      <t>0</t>
    </r>
  </si>
  <si>
    <r>
      <rPr>
        <sz val="9"/>
        <color theme="1"/>
        <rFont val="Arial"/>
      </rPr>
      <t xml:space="preserve">Ornamental Fish: </t>
    </r>
    <r>
      <rPr>
        <b/>
        <u/>
        <sz val="9"/>
        <color theme="1"/>
        <rFont val="Arial"/>
      </rPr>
      <t>193 pcs.</t>
    </r>
  </si>
  <si>
    <r>
      <rPr>
        <sz val="9"/>
        <color theme="1"/>
        <rFont val="Arial"/>
      </rPr>
      <t xml:space="preserve">Pangasius: </t>
    </r>
    <r>
      <rPr>
        <b/>
        <u/>
        <sz val="9"/>
        <color theme="1"/>
        <rFont val="Arial"/>
      </rPr>
      <t>0</t>
    </r>
  </si>
  <si>
    <r>
      <rPr>
        <sz val="9"/>
        <color theme="1"/>
        <rFont val="Arial"/>
      </rPr>
      <t xml:space="preserve">Freshwater Prawn: </t>
    </r>
    <r>
      <rPr>
        <b/>
        <u/>
        <sz val="9"/>
        <color theme="1"/>
        <rFont val="Arial"/>
      </rPr>
      <t>1,550 pcs.</t>
    </r>
  </si>
  <si>
    <r>
      <rPr>
        <sz val="9"/>
        <color theme="1"/>
        <rFont val="Arial"/>
      </rPr>
      <t xml:space="preserve">  Freshwater: </t>
    </r>
    <r>
      <rPr>
        <b/>
        <u/>
        <sz val="9"/>
        <color theme="1"/>
        <rFont val="Arial"/>
      </rPr>
      <t>41,225</t>
    </r>
  </si>
  <si>
    <r>
      <rPr>
        <sz val="9"/>
        <color theme="1"/>
        <rFont val="Arial"/>
      </rPr>
      <t xml:space="preserve">  Brackishwater: </t>
    </r>
    <r>
      <rPr>
        <b/>
        <u/>
        <sz val="9"/>
        <color theme="1"/>
        <rFont val="Arial"/>
      </rPr>
      <t>5,450</t>
    </r>
  </si>
  <si>
    <t xml:space="preserve">                  November 2019</t>
  </si>
  <si>
    <t>LGU Dimiao</t>
  </si>
  <si>
    <t>Joselito Salvacion</t>
  </si>
  <si>
    <t>Sto. Niño Talibon Water Impounding &amp; Irrigators Assoc.</t>
  </si>
  <si>
    <t>Meneo Auxterio</t>
  </si>
  <si>
    <t>BFAR - Region 8</t>
  </si>
  <si>
    <t>Tacloban City</t>
  </si>
  <si>
    <t>Armando Arpon</t>
  </si>
  <si>
    <t>LGU Antequera</t>
  </si>
  <si>
    <t>Paterna Renegado</t>
  </si>
  <si>
    <t>LGU San Isidro</t>
  </si>
  <si>
    <t>Abihilam</t>
  </si>
  <si>
    <t>Ruel cabug-os</t>
  </si>
  <si>
    <t>LGU Trinidad</t>
  </si>
  <si>
    <t>Warren Perez</t>
  </si>
  <si>
    <t>PFO Siquijor</t>
  </si>
  <si>
    <t>LGU Carcar City</t>
  </si>
  <si>
    <t>Carcar City, cebu</t>
  </si>
  <si>
    <t>Simeon Aledon</t>
  </si>
  <si>
    <t>LGU Valencia</t>
  </si>
  <si>
    <t xml:space="preserve">                  December 2019</t>
  </si>
  <si>
    <t>OPA - Bilar Hatchery</t>
  </si>
  <si>
    <t>Corazon Montoya</t>
  </si>
  <si>
    <t>Romeo Toralba</t>
  </si>
  <si>
    <r>
      <rPr>
        <b/>
        <sz val="11"/>
        <color theme="1"/>
        <rFont val="Calibri"/>
      </rPr>
      <t>1</t>
    </r>
    <r>
      <rPr>
        <b/>
        <vertAlign val="superscript"/>
        <sz val="11"/>
        <color theme="1"/>
        <rFont val="Calibri"/>
      </rPr>
      <t>st</t>
    </r>
    <r>
      <rPr>
        <b/>
        <sz val="11"/>
        <color theme="1"/>
        <rFont val="Calibri"/>
      </rPr>
      <t xml:space="preserve"> DISTRICT</t>
    </r>
  </si>
  <si>
    <r>
      <rPr>
        <b/>
        <sz val="11"/>
        <color theme="1"/>
        <rFont val="Calibri"/>
      </rPr>
      <t>2</t>
    </r>
    <r>
      <rPr>
        <b/>
        <vertAlign val="superscript"/>
        <sz val="11"/>
        <color theme="1"/>
        <rFont val="Calibri"/>
      </rPr>
      <t>nd</t>
    </r>
    <r>
      <rPr>
        <b/>
        <sz val="11"/>
        <color theme="1"/>
        <rFont val="Calibri"/>
      </rPr>
      <t xml:space="preserve"> DISTRICT</t>
    </r>
  </si>
  <si>
    <r>
      <rPr>
        <b/>
        <sz val="11"/>
        <color theme="1"/>
        <rFont val="Calibri"/>
      </rPr>
      <t>3</t>
    </r>
    <r>
      <rPr>
        <b/>
        <vertAlign val="superscript"/>
        <sz val="11"/>
        <color theme="1"/>
        <rFont val="Calibri"/>
      </rPr>
      <t>rd</t>
    </r>
    <r>
      <rPr>
        <b/>
        <sz val="11"/>
        <color theme="1"/>
        <rFont val="Calibri"/>
      </rPr>
      <t xml:space="preserve"> DISTRICT</t>
    </r>
  </si>
  <si>
    <t>President Garcia</t>
  </si>
  <si>
    <r>
      <rPr>
        <sz val="10"/>
        <color theme="1"/>
        <rFont val="Arial"/>
        <charset val="134"/>
      </rPr>
      <t xml:space="preserve">Total No. Of Beneficiaries: </t>
    </r>
    <r>
      <rPr>
        <u/>
        <sz val="10"/>
        <color theme="1"/>
        <rFont val="Arial"/>
        <charset val="134"/>
      </rPr>
      <t xml:space="preserve"> 5</t>
    </r>
  </si>
  <si>
    <r>
      <rPr>
        <sz val="10"/>
        <color theme="1"/>
        <rFont val="Arial"/>
        <charset val="134"/>
      </rPr>
      <t>Male:</t>
    </r>
    <r>
      <rPr>
        <u/>
        <sz val="10"/>
        <color theme="1"/>
        <rFont val="Arial"/>
        <charset val="134"/>
      </rPr>
      <t xml:space="preserve">  5</t>
    </r>
  </si>
  <si>
    <r>
      <rPr>
        <sz val="10"/>
        <color theme="1"/>
        <rFont val="Arial"/>
        <charset val="134"/>
      </rPr>
      <t>Female:</t>
    </r>
    <r>
      <rPr>
        <u/>
        <sz val="10"/>
        <color theme="1"/>
        <rFont val="Arial"/>
        <charset val="134"/>
      </rPr>
      <t xml:space="preserve">  0</t>
    </r>
  </si>
  <si>
    <r>
      <rPr>
        <sz val="10"/>
        <color theme="1"/>
        <rFont val="Arial"/>
        <charset val="134"/>
      </rPr>
      <t>Others:(S.C./PWD)</t>
    </r>
    <r>
      <rPr>
        <u/>
        <sz val="10"/>
        <color theme="1"/>
        <rFont val="Arial"/>
        <charset val="134"/>
      </rPr>
      <t xml:space="preserve">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</si>
</sst>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"/>
    <numFmt numFmtId="165" formatCode="_(* #,##0_);_(* \(#,##0\);_(* &quot;-&quot;??_);_(@_)"/>
    <numFmt numFmtId="166" formatCode="_-[$₱-464]* #,##0.00_-;\-[$₱-464]* #,##0.00_-;_-[$₱-464]* &quot;-&quot;??_-;_-@"/>
    <numFmt numFmtId="167" formatCode="_(* #,##0.00_);_(* \(#,##0.00\);_(* &quot;-&quot;??_);_(@_)"/>
  </numFmts>
  <fonts count="37">
    <font>
      <sz val="11"/>
      <color theme="1"/>
      <name val="Calibri"/>
      <scheme val="minor"/>
    </font>
    <font>
      <b/>
      <sz val="18"/>
      <color theme="1"/>
      <name val="Arial"/>
    </font>
    <font>
      <sz val="11"/>
      <color theme="1"/>
      <name val="Calibri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8"/>
      <color theme="1"/>
      <name val="Arial"/>
    </font>
    <font>
      <sz val="11"/>
      <name val="Calibri"/>
    </font>
    <font>
      <b/>
      <sz val="9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1"/>
      <color theme="1"/>
      <name val="Calibri"/>
      <scheme val="minor"/>
    </font>
    <font>
      <b/>
      <u/>
      <sz val="10"/>
      <color theme="1"/>
      <name val="Arial"/>
    </font>
    <font>
      <sz val="11"/>
      <color rgb="FF00B0F0"/>
      <name val="Calibri"/>
    </font>
    <font>
      <sz val="11"/>
      <color rgb="FFFF0000"/>
      <name val="Calibri"/>
    </font>
    <font>
      <sz val="11"/>
      <color theme="0"/>
      <name val="Calibri"/>
    </font>
    <font>
      <sz val="11"/>
      <color rgb="FFFFFF00"/>
      <name val="Calibri"/>
    </font>
    <font>
      <sz val="9"/>
      <color rgb="FFF2F2F2"/>
      <name val="Arial"/>
    </font>
    <font>
      <sz val="11"/>
      <color rgb="FFF2F2F2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2"/>
      <color theme="1"/>
      <name val="Calibri"/>
    </font>
    <font>
      <u/>
      <sz val="10"/>
      <color theme="1"/>
      <name val="Arial"/>
    </font>
    <font>
      <u/>
      <sz val="9"/>
      <color theme="1"/>
      <name val="Arial"/>
    </font>
    <font>
      <b/>
      <u/>
      <sz val="9"/>
      <color theme="1"/>
      <name val="Arial"/>
    </font>
    <font>
      <b/>
      <vertAlign val="superscript"/>
      <sz val="11"/>
      <color theme="1"/>
      <name val="Calibri"/>
    </font>
    <font>
      <b/>
      <sz val="18"/>
      <color theme="1"/>
      <name val="Arial"/>
      <charset val="134"/>
    </font>
    <font>
      <sz val="11"/>
      <color theme="1"/>
      <name val="Calibri"/>
      <charset val="134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u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11"/>
      <name val="Calibri"/>
      <charset val="134"/>
      <scheme val="minor"/>
    </font>
    <font>
      <b/>
      <sz val="9"/>
      <color theme="1"/>
      <name val="Arial"/>
      <charset val="134"/>
    </font>
    <font>
      <sz val="8"/>
      <color theme="1"/>
      <name val="Arial"/>
      <charset val="134"/>
    </font>
    <font>
      <sz val="9"/>
      <color theme="1"/>
      <name val="Arial"/>
      <charset val="134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D99594"/>
        <bgColor rgb="FFD99594"/>
      </patternFill>
    </fill>
    <fill>
      <patternFill patternType="solid">
        <fgColor rgb="FFB8CCE4"/>
        <bgColor rgb="FFB8CCE4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4" fontId="2" fillId="0" borderId="0" xfId="0" applyNumberFormat="1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4" fillId="0" borderId="2" xfId="0" applyFont="1" applyBorder="1"/>
    <xf numFmtId="0" fontId="2" fillId="0" borderId="2" xfId="0" applyFont="1" applyBorder="1"/>
    <xf numFmtId="0" fontId="4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4" fillId="0" borderId="5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4" fontId="2" fillId="0" borderId="2" xfId="0" applyNumberFormat="1" applyFont="1" applyBorder="1"/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3" fontId="6" fillId="0" borderId="4" xfId="0" applyNumberFormat="1" applyFont="1" applyBorder="1" applyAlignment="1">
      <alignment horizontal="center"/>
    </xf>
    <xf numFmtId="4" fontId="8" fillId="0" borderId="4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8" xfId="0" applyFont="1" applyBorder="1" applyAlignment="1">
      <alignment horizontal="right"/>
    </xf>
    <xf numFmtId="4" fontId="5" fillId="0" borderId="4" xfId="0" applyNumberFormat="1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3" fontId="6" fillId="0" borderId="12" xfId="0" applyNumberFormat="1" applyFont="1" applyBorder="1" applyAlignment="1">
      <alignment horizontal="center"/>
    </xf>
    <xf numFmtId="4" fontId="5" fillId="0" borderId="5" xfId="0" applyNumberFormat="1" applyFont="1" applyBorder="1"/>
    <xf numFmtId="0" fontId="5" fillId="0" borderId="5" xfId="0" applyFont="1" applyBorder="1"/>
    <xf numFmtId="0" fontId="9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right"/>
    </xf>
    <xf numFmtId="0" fontId="2" fillId="0" borderId="13" xfId="0" applyFont="1" applyBorder="1"/>
    <xf numFmtId="3" fontId="2" fillId="0" borderId="13" xfId="0" applyNumberFormat="1" applyFont="1" applyBorder="1"/>
    <xf numFmtId="4" fontId="2" fillId="0" borderId="13" xfId="0" applyNumberFormat="1" applyFont="1" applyBorder="1"/>
    <xf numFmtId="0" fontId="10" fillId="0" borderId="13" xfId="0" applyFont="1" applyBorder="1"/>
    <xf numFmtId="3" fontId="4" fillId="0" borderId="13" xfId="0" applyNumberFormat="1" applyFont="1" applyBorder="1"/>
    <xf numFmtId="165" fontId="2" fillId="0" borderId="13" xfId="0" applyNumberFormat="1" applyFont="1" applyBorder="1"/>
    <xf numFmtId="2" fontId="2" fillId="0" borderId="13" xfId="0" applyNumberFormat="1" applyFont="1" applyBorder="1"/>
    <xf numFmtId="0" fontId="4" fillId="0" borderId="13" xfId="0" applyFont="1" applyBorder="1"/>
    <xf numFmtId="1" fontId="2" fillId="0" borderId="13" xfId="0" applyNumberFormat="1" applyFont="1" applyBorder="1"/>
    <xf numFmtId="0" fontId="4" fillId="0" borderId="13" xfId="0" applyFont="1" applyBorder="1" applyAlignment="1">
      <alignment wrapText="1"/>
    </xf>
    <xf numFmtId="0" fontId="4" fillId="0" borderId="13" xfId="0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5" fillId="0" borderId="0" xfId="0" applyFont="1"/>
    <xf numFmtId="3" fontId="10" fillId="0" borderId="0" xfId="0" applyNumberFormat="1" applyFont="1"/>
    <xf numFmtId="165" fontId="2" fillId="0" borderId="13" xfId="0" applyNumberFormat="1" applyFont="1" applyBorder="1" applyAlignment="1">
      <alignment vertical="top"/>
    </xf>
    <xf numFmtId="0" fontId="12" fillId="0" borderId="0" xfId="0" applyFont="1"/>
    <xf numFmtId="3" fontId="2" fillId="0" borderId="2" xfId="0" applyNumberFormat="1" applyFont="1" applyBorder="1"/>
    <xf numFmtId="166" fontId="2" fillId="0" borderId="2" xfId="0" applyNumberFormat="1" applyFont="1" applyBorder="1"/>
    <xf numFmtId="166" fontId="2" fillId="0" borderId="13" xfId="0" applyNumberFormat="1" applyFont="1" applyBorder="1"/>
    <xf numFmtId="0" fontId="4" fillId="0" borderId="0" xfId="0" applyFont="1"/>
    <xf numFmtId="38" fontId="10" fillId="0" borderId="0" xfId="0" applyNumberFormat="1" applyFont="1"/>
    <xf numFmtId="4" fontId="10" fillId="0" borderId="0" xfId="0" applyNumberFormat="1" applyFont="1"/>
    <xf numFmtId="0" fontId="4" fillId="0" borderId="1" xfId="0" applyFont="1" applyBorder="1"/>
    <xf numFmtId="0" fontId="10" fillId="0" borderId="0" xfId="0" applyFont="1" applyAlignment="1">
      <alignment horizontal="right"/>
    </xf>
    <xf numFmtId="0" fontId="4" fillId="0" borderId="7" xfId="0" applyFont="1" applyBorder="1"/>
    <xf numFmtId="4" fontId="10" fillId="0" borderId="4" xfId="0" applyNumberFormat="1" applyFont="1" applyBorder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4" fillId="0" borderId="12" xfId="0" applyFont="1" applyBorder="1"/>
    <xf numFmtId="0" fontId="10" fillId="0" borderId="2" xfId="0" applyFont="1" applyBorder="1" applyAlignment="1">
      <alignment horizontal="right"/>
    </xf>
    <xf numFmtId="4" fontId="10" fillId="0" borderId="2" xfId="0" applyNumberFormat="1" applyFont="1" applyBorder="1"/>
    <xf numFmtId="0" fontId="8" fillId="0" borderId="8" xfId="0" applyFont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 applyAlignment="1">
      <alignment horizontal="right"/>
    </xf>
    <xf numFmtId="38" fontId="8" fillId="0" borderId="4" xfId="0" applyNumberFormat="1" applyFont="1" applyBorder="1" applyAlignment="1">
      <alignment horizontal="center"/>
    </xf>
    <xf numFmtId="0" fontId="4" fillId="0" borderId="8" xfId="0" applyFont="1" applyBorder="1"/>
    <xf numFmtId="0" fontId="6" fillId="0" borderId="4" xfId="0" applyFont="1" applyBorder="1"/>
    <xf numFmtId="4" fontId="8" fillId="0" borderId="4" xfId="0" applyNumberFormat="1" applyFont="1" applyBorder="1"/>
    <xf numFmtId="0" fontId="10" fillId="0" borderId="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38" fontId="8" fillId="0" borderId="12" xfId="0" applyNumberFormat="1" applyFont="1" applyBorder="1" applyAlignment="1">
      <alignment horizontal="center"/>
    </xf>
    <xf numFmtId="4" fontId="8" fillId="0" borderId="5" xfId="0" applyNumberFormat="1" applyFont="1" applyBorder="1"/>
    <xf numFmtId="0" fontId="9" fillId="0" borderId="13" xfId="0" applyFont="1" applyBorder="1"/>
    <xf numFmtId="167" fontId="2" fillId="0" borderId="0" xfId="0" applyNumberFormat="1" applyFont="1"/>
    <xf numFmtId="167" fontId="2" fillId="0" borderId="13" xfId="0" applyNumberFormat="1" applyFont="1" applyBorder="1"/>
    <xf numFmtId="3" fontId="2" fillId="0" borderId="13" xfId="0" applyNumberFormat="1" applyFont="1" applyBorder="1" applyAlignment="1">
      <alignment horizontal="right"/>
    </xf>
    <xf numFmtId="0" fontId="2" fillId="0" borderId="13" xfId="0" applyFont="1" applyBorder="1" applyAlignment="1">
      <alignment horizontal="center"/>
    </xf>
    <xf numFmtId="38" fontId="2" fillId="0" borderId="13" xfId="0" applyNumberFormat="1" applyFont="1" applyBorder="1"/>
    <xf numFmtId="38" fontId="2" fillId="0" borderId="13" xfId="0" applyNumberFormat="1" applyFont="1" applyBorder="1" applyAlignment="1">
      <alignment horizontal="right"/>
    </xf>
    <xf numFmtId="38" fontId="2" fillId="0" borderId="0" xfId="0" applyNumberFormat="1" applyFont="1"/>
    <xf numFmtId="0" fontId="5" fillId="0" borderId="8" xfId="0" applyFont="1" applyBorder="1"/>
    <xf numFmtId="0" fontId="2" fillId="0" borderId="15" xfId="0" applyFont="1" applyBorder="1"/>
    <xf numFmtId="2" fontId="2" fillId="0" borderId="15" xfId="0" applyNumberFormat="1" applyFont="1" applyBorder="1"/>
    <xf numFmtId="0" fontId="2" fillId="2" borderId="16" xfId="0" applyFont="1" applyFill="1" applyBorder="1"/>
    <xf numFmtId="0" fontId="2" fillId="3" borderId="16" xfId="0" applyFont="1" applyFill="1" applyBorder="1"/>
    <xf numFmtId="2" fontId="2" fillId="0" borderId="5" xfId="0" applyNumberFormat="1" applyFont="1" applyBorder="1"/>
    <xf numFmtId="0" fontId="2" fillId="4" borderId="17" xfId="0" applyFont="1" applyFill="1" applyBorder="1"/>
    <xf numFmtId="0" fontId="2" fillId="5" borderId="13" xfId="0" applyFont="1" applyFill="1" applyBorder="1"/>
    <xf numFmtId="0" fontId="2" fillId="5" borderId="17" xfId="0" applyFont="1" applyFill="1" applyBorder="1"/>
    <xf numFmtId="0" fontId="2" fillId="3" borderId="17" xfId="0" applyFont="1" applyFill="1" applyBorder="1"/>
    <xf numFmtId="0" fontId="2" fillId="6" borderId="17" xfId="0" applyFont="1" applyFill="1" applyBorder="1"/>
    <xf numFmtId="0" fontId="2" fillId="3" borderId="13" xfId="0" applyFont="1" applyFill="1" applyBorder="1"/>
    <xf numFmtId="0" fontId="2" fillId="4" borderId="13" xfId="0" applyFont="1" applyFill="1" applyBorder="1"/>
    <xf numFmtId="0" fontId="2" fillId="3" borderId="15" xfId="0" applyFont="1" applyFill="1" applyBorder="1"/>
    <xf numFmtId="3" fontId="2" fillId="0" borderId="15" xfId="0" applyNumberFormat="1" applyFont="1" applyBorder="1"/>
    <xf numFmtId="0" fontId="2" fillId="5" borderId="16" xfId="0" applyFont="1" applyFill="1" applyBorder="1"/>
    <xf numFmtId="3" fontId="2" fillId="0" borderId="5" xfId="0" applyNumberFormat="1" applyFont="1" applyBorder="1"/>
    <xf numFmtId="0" fontId="2" fillId="2" borderId="13" xfId="0" applyFont="1" applyFill="1" applyBorder="1"/>
    <xf numFmtId="0" fontId="2" fillId="5" borderId="15" xfId="0" applyFont="1" applyFill="1" applyBorder="1"/>
    <xf numFmtId="167" fontId="2" fillId="0" borderId="5" xfId="0" applyNumberFormat="1" applyFont="1" applyBorder="1"/>
    <xf numFmtId="0" fontId="2" fillId="6" borderId="17" xfId="0" applyFont="1" applyFill="1" applyBorder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8" fillId="0" borderId="0" xfId="0" applyFont="1"/>
    <xf numFmtId="0" fontId="10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/>
    <xf numFmtId="0" fontId="9" fillId="0" borderId="15" xfId="0" applyFont="1" applyBorder="1"/>
    <xf numFmtId="0" fontId="9" fillId="0" borderId="5" xfId="0" applyFont="1" applyBorder="1"/>
    <xf numFmtId="0" fontId="2" fillId="0" borderId="18" xfId="0" applyFont="1" applyBorder="1"/>
    <xf numFmtId="3" fontId="2" fillId="0" borderId="18" xfId="0" applyNumberFormat="1" applyFont="1" applyBorder="1"/>
    <xf numFmtId="2" fontId="2" fillId="0" borderId="18" xfId="0" applyNumberFormat="1" applyFont="1" applyBorder="1"/>
    <xf numFmtId="0" fontId="2" fillId="0" borderId="19" xfId="0" applyFont="1" applyBorder="1"/>
    <xf numFmtId="3" fontId="2" fillId="0" borderId="19" xfId="0" applyNumberFormat="1" applyFont="1" applyBorder="1"/>
    <xf numFmtId="2" fontId="2" fillId="0" borderId="19" xfId="0" applyNumberFormat="1" applyFont="1" applyBorder="1"/>
    <xf numFmtId="165" fontId="2" fillId="0" borderId="15" xfId="0" applyNumberFormat="1" applyFont="1" applyBorder="1"/>
    <xf numFmtId="165" fontId="2" fillId="0" borderId="5" xfId="0" applyNumberFormat="1" applyFont="1" applyBorder="1"/>
    <xf numFmtId="3" fontId="2" fillId="0" borderId="0" xfId="0" applyNumberFormat="1" applyFont="1" applyAlignment="1">
      <alignment horizontal="left"/>
    </xf>
    <xf numFmtId="0" fontId="2" fillId="2" borderId="17" xfId="0" applyFont="1" applyFill="1" applyBorder="1"/>
    <xf numFmtId="3" fontId="2" fillId="7" borderId="17" xfId="0" applyNumberFormat="1" applyFont="1" applyFill="1" applyBorder="1"/>
    <xf numFmtId="0" fontId="14" fillId="0" borderId="0" xfId="0" applyFont="1"/>
    <xf numFmtId="2" fontId="2" fillId="0" borderId="0" xfId="0" applyNumberFormat="1" applyFont="1"/>
    <xf numFmtId="0" fontId="2" fillId="8" borderId="17" xfId="0" applyFont="1" applyFill="1" applyBorder="1"/>
    <xf numFmtId="0" fontId="2" fillId="9" borderId="17" xfId="0" applyFont="1" applyFill="1" applyBorder="1"/>
    <xf numFmtId="0" fontId="2" fillId="0" borderId="3" xfId="0" applyFont="1" applyBorder="1"/>
    <xf numFmtId="165" fontId="15" fillId="0" borderId="0" xfId="0" applyNumberFormat="1" applyFont="1"/>
    <xf numFmtId="0" fontId="15" fillId="0" borderId="0" xfId="0" applyFont="1"/>
    <xf numFmtId="165" fontId="14" fillId="0" borderId="0" xfId="0" applyNumberFormat="1" applyFont="1"/>
    <xf numFmtId="3" fontId="16" fillId="0" borderId="0" xfId="0" applyNumberFormat="1" applyFont="1"/>
    <xf numFmtId="3" fontId="14" fillId="0" borderId="0" xfId="0" applyNumberFormat="1" applyFont="1"/>
    <xf numFmtId="0" fontId="14" fillId="0" borderId="3" xfId="0" applyFont="1" applyBorder="1"/>
    <xf numFmtId="2" fontId="2" fillId="0" borderId="2" xfId="0" applyNumberFormat="1" applyFont="1" applyBorder="1"/>
    <xf numFmtId="165" fontId="17" fillId="0" borderId="0" xfId="0" applyNumberFormat="1" applyFont="1"/>
    <xf numFmtId="165" fontId="18" fillId="0" borderId="0" xfId="0" applyNumberFormat="1" applyFont="1" applyAlignment="1">
      <alignment horizontal="center"/>
    </xf>
    <xf numFmtId="3" fontId="18" fillId="0" borderId="0" xfId="0" applyNumberFormat="1" applyFont="1"/>
    <xf numFmtId="165" fontId="18" fillId="0" borderId="0" xfId="0" applyNumberFormat="1" applyFont="1"/>
    <xf numFmtId="0" fontId="2" fillId="10" borderId="13" xfId="0" applyFont="1" applyFill="1" applyBorder="1"/>
    <xf numFmtId="0" fontId="19" fillId="0" borderId="0" xfId="0" applyFont="1" applyAlignment="1">
      <alignment horizontal="right"/>
    </xf>
    <xf numFmtId="165" fontId="20" fillId="0" borderId="0" xfId="0" applyNumberFormat="1" applyFont="1"/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11" borderId="13" xfId="0" applyFont="1" applyFill="1" applyBorder="1"/>
    <xf numFmtId="0" fontId="10" fillId="11" borderId="13" xfId="0" applyFont="1" applyFill="1" applyBorder="1"/>
    <xf numFmtId="3" fontId="4" fillId="11" borderId="13" xfId="0" applyNumberFormat="1" applyFont="1" applyFill="1" applyBorder="1"/>
    <xf numFmtId="165" fontId="2" fillId="11" borderId="13" xfId="0" applyNumberFormat="1" applyFont="1" applyFill="1" applyBorder="1"/>
    <xf numFmtId="166" fontId="2" fillId="11" borderId="13" xfId="0" applyNumberFormat="1" applyFont="1" applyFill="1" applyBorder="1"/>
    <xf numFmtId="0" fontId="4" fillId="11" borderId="13" xfId="0" applyFont="1" applyFill="1" applyBorder="1"/>
    <xf numFmtId="0" fontId="2" fillId="0" borderId="9" xfId="0" applyFont="1" applyBorder="1"/>
    <xf numFmtId="0" fontId="20" fillId="0" borderId="1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" fillId="0" borderId="6" xfId="0" applyFont="1" applyBorder="1"/>
    <xf numFmtId="0" fontId="21" fillId="0" borderId="7" xfId="0" applyFont="1" applyBorder="1"/>
    <xf numFmtId="0" fontId="21" fillId="0" borderId="4" xfId="0" applyFont="1" applyBorder="1"/>
    <xf numFmtId="0" fontId="2" fillId="0" borderId="11" xfId="0" applyFont="1" applyBorder="1"/>
    <xf numFmtId="0" fontId="2" fillId="0" borderId="12" xfId="0" applyFont="1" applyBorder="1"/>
    <xf numFmtId="0" fontId="21" fillId="0" borderId="12" xfId="0" applyFont="1" applyBorder="1"/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3" fontId="27" fillId="0" borderId="0" xfId="0" applyNumberFormat="1" applyFont="1"/>
    <xf numFmtId="4" fontId="27" fillId="0" borderId="0" xfId="0" applyNumberFormat="1" applyFont="1"/>
    <xf numFmtId="0" fontId="27" fillId="0" borderId="1" xfId="0" applyFont="1" applyBorder="1"/>
    <xf numFmtId="0" fontId="27" fillId="0" borderId="0" xfId="0" applyFont="1" applyAlignment="1">
      <alignment horizontal="right"/>
    </xf>
    <xf numFmtId="0" fontId="29" fillId="0" borderId="2" xfId="0" applyFont="1" applyBorder="1"/>
    <xf numFmtId="0" fontId="27" fillId="0" borderId="2" xfId="0" applyFont="1" applyBorder="1"/>
    <xf numFmtId="0" fontId="29" fillId="0" borderId="3" xfId="0" applyFont="1" applyBorder="1"/>
    <xf numFmtId="0" fontId="27" fillId="0" borderId="4" xfId="0" applyFont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0" fontId="27" fillId="0" borderId="1" xfId="0" applyFont="1" applyBorder="1" applyAlignment="1">
      <alignment horizontal="left"/>
    </xf>
    <xf numFmtId="0" fontId="29" fillId="0" borderId="16" xfId="0" applyFont="1" applyBorder="1"/>
    <xf numFmtId="0" fontId="27" fillId="0" borderId="16" xfId="0" applyFont="1" applyBorder="1"/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left"/>
    </xf>
    <xf numFmtId="0" fontId="32" fillId="0" borderId="2" xfId="0" applyFont="1" applyBorder="1" applyAlignment="1">
      <alignment horizontal="center"/>
    </xf>
    <xf numFmtId="0" fontId="27" fillId="0" borderId="2" xfId="0" applyFont="1" applyBorder="1" applyAlignment="1">
      <alignment horizontal="left"/>
    </xf>
    <xf numFmtId="0" fontId="32" fillId="0" borderId="8" xfId="0" applyFont="1" applyBorder="1" applyAlignment="1">
      <alignment horizontal="center"/>
    </xf>
    <xf numFmtId="4" fontId="27" fillId="0" borderId="2" xfId="0" applyNumberFormat="1" applyFont="1" applyBorder="1"/>
    <xf numFmtId="0" fontId="31" fillId="0" borderId="8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27" fillId="0" borderId="4" xfId="0" applyFont="1" applyBorder="1" applyAlignment="1">
      <alignment horizontal="right"/>
    </xf>
    <xf numFmtId="3" fontId="32" fillId="0" borderId="4" xfId="0" applyNumberFormat="1" applyFont="1" applyBorder="1" applyAlignment="1">
      <alignment horizontal="center"/>
    </xf>
    <xf numFmtId="4" fontId="34" fillId="0" borderId="4" xfId="0" applyNumberFormat="1" applyFont="1" applyBorder="1" applyAlignment="1">
      <alignment horizontal="center"/>
    </xf>
    <xf numFmtId="0" fontId="27" fillId="0" borderId="8" xfId="0" applyFont="1" applyBorder="1"/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left"/>
    </xf>
    <xf numFmtId="0" fontId="27" fillId="0" borderId="8" xfId="0" applyFont="1" applyBorder="1" applyAlignment="1">
      <alignment horizontal="left"/>
    </xf>
    <xf numFmtId="0" fontId="32" fillId="0" borderId="8" xfId="0" applyFont="1" applyBorder="1" applyAlignment="1">
      <alignment horizontal="right"/>
    </xf>
    <xf numFmtId="4" fontId="31" fillId="0" borderId="4" xfId="0" applyNumberFormat="1" applyFont="1" applyBorder="1"/>
    <xf numFmtId="0" fontId="27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left"/>
    </xf>
    <xf numFmtId="0" fontId="27" fillId="0" borderId="16" xfId="0" applyFont="1" applyBorder="1" applyAlignment="1">
      <alignment horizontal="right"/>
    </xf>
    <xf numFmtId="0" fontId="27" fillId="0" borderId="16" xfId="0" applyFont="1" applyBorder="1" applyAlignment="1">
      <alignment horizontal="left"/>
    </xf>
    <xf numFmtId="0" fontId="3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right"/>
    </xf>
    <xf numFmtId="3" fontId="32" fillId="0" borderId="12" xfId="0" applyNumberFormat="1" applyFont="1" applyBorder="1" applyAlignment="1">
      <alignment horizontal="center"/>
    </xf>
    <xf numFmtId="4" fontId="31" fillId="0" borderId="16" xfId="0" applyNumberFormat="1" applyFont="1" applyBorder="1"/>
    <xf numFmtId="0" fontId="31" fillId="0" borderId="16" xfId="0" applyFont="1" applyBorder="1"/>
    <xf numFmtId="0" fontId="35" fillId="0" borderId="13" xfId="0" applyFont="1" applyBorder="1" applyAlignment="1">
      <alignment horizontal="center"/>
    </xf>
    <xf numFmtId="0" fontId="27" fillId="0" borderId="13" xfId="0" applyFont="1" applyBorder="1" applyAlignment="1">
      <alignment horizontal="left"/>
    </xf>
    <xf numFmtId="0" fontId="27" fillId="0" borderId="13" xfId="0" applyFont="1" applyBorder="1" applyAlignment="1">
      <alignment horizontal="right"/>
    </xf>
    <xf numFmtId="0" fontId="27" fillId="0" borderId="13" xfId="0" applyFont="1" applyBorder="1"/>
    <xf numFmtId="3" fontId="27" fillId="0" borderId="13" xfId="0" applyNumberFormat="1" applyFont="1" applyBorder="1"/>
    <xf numFmtId="4" fontId="27" fillId="0" borderId="13" xfId="0" applyNumberFormat="1" applyFont="1" applyBorder="1"/>
    <xf numFmtId="0" fontId="36" fillId="0" borderId="13" xfId="0" applyFont="1" applyBorder="1"/>
    <xf numFmtId="3" fontId="29" fillId="0" borderId="13" xfId="0" applyNumberFormat="1" applyFont="1" applyBorder="1"/>
    <xf numFmtId="165" fontId="27" fillId="0" borderId="13" xfId="0" applyNumberFormat="1" applyFont="1" applyBorder="1"/>
    <xf numFmtId="2" fontId="27" fillId="0" borderId="13" xfId="0" applyNumberFormat="1" applyFont="1" applyBorder="1"/>
    <xf numFmtId="0" fontId="29" fillId="0" borderId="13" xfId="0" applyFont="1" applyBorder="1"/>
    <xf numFmtId="165" fontId="27" fillId="0" borderId="13" xfId="0" applyNumberFormat="1" applyFont="1" applyBorder="1" applyAlignment="1">
      <alignment vertical="top"/>
    </xf>
    <xf numFmtId="1" fontId="27" fillId="0" borderId="13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164" fontId="3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7" xfId="0" applyFont="1" applyBorder="1"/>
    <xf numFmtId="0" fontId="5" fillId="0" borderId="9" xfId="0" applyFont="1" applyBorder="1" applyAlignment="1">
      <alignment horizontal="center"/>
    </xf>
    <xf numFmtId="0" fontId="7" fillId="0" borderId="10" xfId="0" applyFont="1" applyBorder="1"/>
    <xf numFmtId="0" fontId="5" fillId="0" borderId="3" xfId="0" applyFont="1" applyBorder="1" applyAlignment="1">
      <alignment horizontal="center"/>
    </xf>
    <xf numFmtId="0" fontId="7" fillId="0" borderId="4" xfId="0" applyFont="1" applyBorder="1"/>
    <xf numFmtId="0" fontId="26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0" borderId="7" xfId="0" applyFont="1" applyBorder="1"/>
    <xf numFmtId="0" fontId="31" fillId="0" borderId="9" xfId="0" applyFont="1" applyBorder="1" applyAlignment="1">
      <alignment horizontal="center"/>
    </xf>
    <xf numFmtId="0" fontId="33" fillId="0" borderId="10" xfId="0" applyFont="1" applyBorder="1"/>
    <xf numFmtId="0" fontId="31" fillId="0" borderId="3" xfId="0" applyFont="1" applyBorder="1" applyAlignment="1">
      <alignment horizontal="center"/>
    </xf>
    <xf numFmtId="0" fontId="33" fillId="0" borderId="4" xfId="0" applyFont="1" applyBorder="1"/>
    <xf numFmtId="0" fontId="7" fillId="0" borderId="14" xfId="0" applyFont="1" applyBorder="1"/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7" fillId="0" borderId="12" xfId="0" applyFont="1" applyBorder="1"/>
    <xf numFmtId="0" fontId="4" fillId="0" borderId="6" xfId="0" applyFont="1" applyBorder="1" applyAlignment="1">
      <alignment horizontal="left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activeCell="J21" sqref="J21"/>
    </sheetView>
  </sheetViews>
  <sheetFormatPr defaultColWidth="14.42578125" defaultRowHeight="15" customHeight="1"/>
  <cols>
    <col min="1" max="1" width="4.7109375" customWidth="1"/>
    <col min="2" max="2" width="27.85546875" customWidth="1"/>
    <col min="3" max="3" width="8.140625" customWidth="1"/>
    <col min="4" max="5" width="14.7109375" customWidth="1"/>
    <col min="6" max="6" width="9.7109375" customWidth="1"/>
    <col min="7" max="7" width="17.140625" customWidth="1"/>
    <col min="8" max="8" width="13.5703125" customWidth="1"/>
    <col min="9" max="9" width="14.7109375" customWidth="1"/>
    <col min="10" max="10" width="10.7109375" customWidth="1"/>
    <col min="11" max="11" width="8.28515625" customWidth="1"/>
    <col min="12" max="12" width="18.5703125" customWidth="1"/>
    <col min="13" max="26" width="8.710937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2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3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4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6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10</v>
      </c>
      <c r="B12" s="49" t="s">
        <v>31</v>
      </c>
      <c r="C12" s="49"/>
      <c r="D12" s="49" t="s">
        <v>32</v>
      </c>
      <c r="E12" s="49" t="s">
        <v>33</v>
      </c>
      <c r="F12" s="49"/>
      <c r="G12" s="52" t="s">
        <v>34</v>
      </c>
      <c r="H12" s="53" t="s">
        <v>35</v>
      </c>
      <c r="I12" s="54">
        <v>11300</v>
      </c>
      <c r="J12" s="55">
        <v>1695</v>
      </c>
      <c r="K12" s="56" t="s">
        <v>36</v>
      </c>
      <c r="L12" s="49" t="s">
        <v>37</v>
      </c>
    </row>
    <row r="13" spans="1:12">
      <c r="A13" s="49">
        <v>14</v>
      </c>
      <c r="B13" s="56" t="s">
        <v>38</v>
      </c>
      <c r="C13" s="49"/>
      <c r="D13" s="56"/>
      <c r="E13" s="56"/>
      <c r="F13" s="49"/>
      <c r="G13" s="56"/>
      <c r="H13" s="53"/>
      <c r="I13" s="57"/>
      <c r="J13" s="49"/>
      <c r="K13" s="56"/>
      <c r="L13" s="30"/>
    </row>
    <row r="14" spans="1:12">
      <c r="A14" s="49"/>
      <c r="B14" s="56" t="s">
        <v>39</v>
      </c>
      <c r="C14" s="56"/>
      <c r="D14" s="56" t="s">
        <v>40</v>
      </c>
      <c r="E14" s="56" t="s">
        <v>41</v>
      </c>
      <c r="F14" s="49"/>
      <c r="G14" s="56" t="s">
        <v>42</v>
      </c>
      <c r="H14" s="53" t="s">
        <v>35</v>
      </c>
      <c r="I14" s="50">
        <v>2000</v>
      </c>
      <c r="J14" s="53"/>
      <c r="K14" s="56" t="s">
        <v>43</v>
      </c>
      <c r="L14" s="56" t="s">
        <v>37</v>
      </c>
    </row>
    <row r="15" spans="1:12">
      <c r="A15" s="49">
        <v>14</v>
      </c>
      <c r="B15" s="56" t="s">
        <v>44</v>
      </c>
      <c r="C15" s="49"/>
      <c r="D15" s="56" t="s">
        <v>32</v>
      </c>
      <c r="E15" s="56" t="s">
        <v>45</v>
      </c>
      <c r="F15" s="49"/>
      <c r="G15" s="56" t="s">
        <v>46</v>
      </c>
      <c r="H15" s="56" t="s">
        <v>35</v>
      </c>
      <c r="I15" s="50">
        <v>23075</v>
      </c>
      <c r="J15" s="49"/>
      <c r="K15" s="56" t="s">
        <v>43</v>
      </c>
      <c r="L15" s="56" t="s">
        <v>37</v>
      </c>
    </row>
    <row r="16" spans="1:12">
      <c r="A16" s="49">
        <v>25</v>
      </c>
      <c r="B16" s="58" t="s">
        <v>47</v>
      </c>
      <c r="C16" s="56"/>
      <c r="D16" s="56" t="s">
        <v>32</v>
      </c>
      <c r="E16" s="56" t="s">
        <v>48</v>
      </c>
      <c r="F16" s="49"/>
      <c r="G16" s="56" t="s">
        <v>49</v>
      </c>
      <c r="H16" s="53" t="s">
        <v>35</v>
      </c>
      <c r="I16" s="50">
        <v>3500</v>
      </c>
      <c r="J16" s="56"/>
      <c r="K16" s="56" t="s">
        <v>43</v>
      </c>
      <c r="L16" s="56" t="s">
        <v>37</v>
      </c>
    </row>
    <row r="17" spans="1:12">
      <c r="A17" s="49">
        <v>26</v>
      </c>
      <c r="B17" s="56" t="s">
        <v>50</v>
      </c>
      <c r="C17" s="56"/>
      <c r="D17" s="49" t="s">
        <v>32</v>
      </c>
      <c r="E17" s="56" t="s">
        <v>51</v>
      </c>
      <c r="F17" s="49"/>
      <c r="G17" s="56" t="s">
        <v>52</v>
      </c>
      <c r="H17" s="53" t="s">
        <v>35</v>
      </c>
      <c r="I17" s="53">
        <v>2000</v>
      </c>
      <c r="J17" s="56"/>
      <c r="K17" s="56" t="s">
        <v>43</v>
      </c>
      <c r="L17" s="56" t="s">
        <v>37</v>
      </c>
    </row>
    <row r="18" spans="1:12">
      <c r="A18" s="49"/>
      <c r="B18" s="56"/>
      <c r="C18" s="49"/>
      <c r="D18" s="56"/>
      <c r="E18" s="56"/>
      <c r="F18" s="49"/>
      <c r="G18" s="56"/>
      <c r="H18" s="56"/>
      <c r="I18" s="50"/>
      <c r="J18" s="49"/>
      <c r="K18" s="56"/>
      <c r="L18" s="56"/>
    </row>
    <row r="19" spans="1:12">
      <c r="A19" s="49"/>
      <c r="B19" s="56"/>
      <c r="C19" s="49"/>
      <c r="D19" s="56"/>
      <c r="E19" s="56"/>
      <c r="F19" s="49"/>
      <c r="G19" s="56"/>
      <c r="H19" s="56"/>
      <c r="I19" s="50"/>
      <c r="J19" s="49"/>
      <c r="K19" s="59"/>
      <c r="L19" s="56"/>
    </row>
    <row r="20" spans="1:12">
      <c r="A20" s="49"/>
      <c r="B20" s="49"/>
      <c r="C20" s="49"/>
      <c r="D20" s="49"/>
      <c r="E20" s="49"/>
      <c r="F20" s="49"/>
      <c r="G20" s="49"/>
      <c r="H20" s="49"/>
      <c r="I20" s="50"/>
      <c r="J20" s="49"/>
      <c r="K20" s="48"/>
      <c r="L20" s="49"/>
    </row>
    <row r="21" spans="1:12" ht="15.75" customHeight="1">
      <c r="A21" s="49"/>
      <c r="B21" s="49"/>
      <c r="C21" s="49"/>
      <c r="D21" s="49"/>
      <c r="E21" s="49"/>
      <c r="F21" s="49"/>
      <c r="G21" s="49"/>
      <c r="H21" s="49"/>
      <c r="I21" s="50"/>
      <c r="J21" s="49"/>
      <c r="K21" s="48"/>
      <c r="L21" s="49"/>
    </row>
    <row r="22" spans="1:12" ht="15.75" customHeight="1">
      <c r="A22" s="49"/>
      <c r="B22" s="49"/>
      <c r="C22" s="49"/>
      <c r="D22" s="49"/>
      <c r="E22" s="49"/>
      <c r="F22" s="49"/>
      <c r="G22" s="49"/>
      <c r="H22" s="49"/>
      <c r="I22" s="50"/>
      <c r="J22" s="49"/>
      <c r="K22" s="48"/>
      <c r="L22" s="49"/>
    </row>
    <row r="23" spans="1:12" ht="15.75" customHeight="1">
      <c r="A23" s="49"/>
      <c r="B23" s="49"/>
      <c r="C23" s="49"/>
      <c r="D23" s="49"/>
      <c r="E23" s="49"/>
      <c r="F23" s="49"/>
      <c r="G23" s="49"/>
      <c r="H23" s="49"/>
      <c r="I23" s="50"/>
      <c r="J23" s="49"/>
      <c r="K23" s="48"/>
      <c r="L23" s="49"/>
    </row>
    <row r="24" spans="1:12" ht="15.75" customHeight="1">
      <c r="A24" s="49"/>
      <c r="B24" s="49"/>
      <c r="C24" s="49"/>
      <c r="D24" s="49"/>
      <c r="E24" s="49"/>
      <c r="F24" s="49"/>
      <c r="G24" s="49"/>
      <c r="H24" s="49"/>
      <c r="I24" s="50"/>
      <c r="J24" s="49"/>
      <c r="K24" s="48"/>
      <c r="L24" s="49"/>
    </row>
    <row r="25" spans="1:12" ht="15.75" customHeight="1">
      <c r="I25" s="60"/>
      <c r="J25" s="60"/>
    </row>
    <row r="26" spans="1:12" ht="15.75" customHeight="1">
      <c r="I26" s="60" t="s">
        <v>53</v>
      </c>
      <c r="J26" s="60"/>
    </row>
    <row r="27" spans="1:12" ht="15.75" customHeight="1">
      <c r="I27" s="60" t="s">
        <v>54</v>
      </c>
      <c r="J27" s="60"/>
    </row>
    <row r="28" spans="1:12" ht="15.75" customHeight="1">
      <c r="B28" s="61" t="s">
        <v>55</v>
      </c>
      <c r="E28" s="61" t="s">
        <v>56</v>
      </c>
      <c r="I28" s="60" t="s">
        <v>57</v>
      </c>
      <c r="J28" s="60"/>
    </row>
    <row r="29" spans="1:12" ht="15.75" customHeight="1">
      <c r="I29" s="60" t="s">
        <v>58</v>
      </c>
      <c r="J29" s="60"/>
    </row>
    <row r="30" spans="1:12" ht="15.75" customHeight="1">
      <c r="I30" s="60" t="s">
        <v>59</v>
      </c>
      <c r="J30" s="60"/>
    </row>
    <row r="31" spans="1:12" ht="15.75" customHeight="1">
      <c r="B31" s="62" t="s">
        <v>60</v>
      </c>
      <c r="E31" s="62" t="s">
        <v>61</v>
      </c>
      <c r="F31" s="62"/>
      <c r="G31" s="62"/>
      <c r="I31" s="60" t="s">
        <v>62</v>
      </c>
      <c r="J31" s="60"/>
    </row>
    <row r="32" spans="1:12" ht="15.75" customHeight="1">
      <c r="B32" s="61" t="s">
        <v>63</v>
      </c>
      <c r="E32" s="61" t="s">
        <v>64</v>
      </c>
      <c r="I32" s="60" t="s">
        <v>65</v>
      </c>
      <c r="J32" s="60"/>
    </row>
    <row r="33" spans="9:10" ht="15.75" customHeight="1">
      <c r="I33" s="60" t="s">
        <v>66</v>
      </c>
      <c r="J33" s="60"/>
    </row>
    <row r="34" spans="9:10" ht="15.75" customHeight="1">
      <c r="I34" s="60" t="s">
        <v>67</v>
      </c>
      <c r="J34" s="63"/>
    </row>
    <row r="35" spans="9:10" ht="15.75" customHeight="1">
      <c r="I35" s="60" t="s">
        <v>68</v>
      </c>
      <c r="J35" s="63"/>
    </row>
    <row r="36" spans="9:10" ht="15.75" customHeight="1"/>
    <row r="37" spans="9:10" ht="15.75" customHeight="1"/>
    <row r="38" spans="9:10" ht="15.75" customHeight="1"/>
    <row r="39" spans="9:10" ht="15.75" customHeight="1"/>
    <row r="40" spans="9:10" ht="15.75" customHeight="1"/>
    <row r="41" spans="9:10" ht="15.75" customHeight="1"/>
    <row r="42" spans="9:10" ht="15.75" customHeight="1"/>
    <row r="43" spans="9:10" ht="15.75" customHeight="1"/>
    <row r="44" spans="9:10" ht="15.75" customHeight="1"/>
    <row r="45" spans="9:10" ht="15.75" customHeight="1"/>
    <row r="46" spans="9:10" ht="15.75" customHeight="1"/>
    <row r="47" spans="9:10" ht="15.75" customHeight="1"/>
    <row r="48" spans="9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7:17" ht="15.75" customHeight="1"/>
    <row r="82" spans="17:17" ht="15.75" customHeight="1"/>
    <row r="83" spans="17:17" ht="15.75" customHeight="1">
      <c r="Q83" s="4"/>
    </row>
    <row r="84" spans="17:17" ht="15.75" customHeight="1"/>
    <row r="85" spans="17:17" ht="15.75" customHeight="1"/>
    <row r="86" spans="17:17" ht="15.75" customHeight="1">
      <c r="Q86" s="4"/>
    </row>
    <row r="87" spans="17:17" ht="15.75" customHeight="1"/>
    <row r="88" spans="17:17" ht="15.75" customHeight="1"/>
    <row r="89" spans="17:17" ht="15.75" customHeight="1"/>
    <row r="90" spans="17:17" ht="15.75" customHeight="1"/>
    <row r="91" spans="17:17" ht="15.75" customHeight="1"/>
    <row r="92" spans="17:17" ht="15.75" customHeight="1">
      <c r="Q92" s="4"/>
    </row>
    <row r="93" spans="17:17" ht="15.75" customHeight="1"/>
    <row r="94" spans="17:17" ht="15.75" customHeight="1"/>
    <row r="95" spans="17:17" ht="15.75" customHeight="1"/>
    <row r="96" spans="17:1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spans="15:15" ht="15.75" customHeight="1">
      <c r="O161" s="4"/>
    </row>
    <row r="162" spans="15:15" ht="15.75" customHeight="1">
      <c r="O162" s="4"/>
    </row>
    <row r="163" spans="15:15" ht="15.75" customHeight="1"/>
    <row r="164" spans="15:15" ht="15.75" customHeight="1"/>
    <row r="165" spans="15:15" ht="15.75" customHeight="1"/>
    <row r="166" spans="15:15" ht="15.75" customHeight="1"/>
    <row r="167" spans="15:15" ht="15.75" customHeight="1"/>
    <row r="168" spans="15:15" ht="15.75" customHeight="1"/>
    <row r="169" spans="15:15" ht="15.75" customHeight="1"/>
    <row r="170" spans="15:15" ht="15.75" customHeight="1"/>
    <row r="171" spans="15:15" ht="15.75" customHeight="1"/>
    <row r="172" spans="15:15" ht="15.75" customHeight="1"/>
    <row r="173" spans="15:15" ht="15.75" customHeight="1"/>
    <row r="174" spans="15:15" ht="15.75" customHeight="1"/>
    <row r="175" spans="15:15" ht="15.75" customHeight="1"/>
    <row r="176" spans="15:15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spans="15:15" ht="15.75" customHeight="1"/>
    <row r="226" spans="15:15" ht="15.75" customHeight="1"/>
    <row r="227" spans="15:15" ht="15.75" customHeight="1"/>
    <row r="228" spans="15:15" ht="15.75" customHeight="1"/>
    <row r="229" spans="15:15" ht="15.75" customHeight="1"/>
    <row r="230" spans="15:15" ht="15.75" customHeight="1"/>
    <row r="231" spans="15:15" ht="15.75" customHeight="1"/>
    <row r="232" spans="15:15" ht="15.75" customHeight="1"/>
    <row r="233" spans="15:15" ht="15.75" customHeight="1"/>
    <row r="234" spans="15:15" ht="15.75" customHeight="1"/>
    <row r="235" spans="15:15" ht="15.75" customHeight="1">
      <c r="O235" s="4">
        <v>1160</v>
      </c>
    </row>
    <row r="236" spans="15:15" ht="15.75" customHeight="1"/>
    <row r="237" spans="15:15" ht="15.75" customHeight="1"/>
    <row r="238" spans="15:15" ht="15.75" customHeight="1"/>
    <row r="239" spans="15:15" ht="15.75" customHeight="1"/>
    <row r="240" spans="15:1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J1"/>
    <mergeCell ref="C2:H2"/>
    <mergeCell ref="H7:I7"/>
    <mergeCell ref="K7:L7"/>
    <mergeCell ref="A8:B8"/>
  </mergeCells>
  <pageMargins left="1" right="1" top="0.75" bottom="0.75" header="0" footer="0"/>
  <pageSetup paperSize="5"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AD16-269A-4C5D-B38A-0013A9622188}">
  <dimension ref="A1:L24"/>
  <sheetViews>
    <sheetView workbookViewId="0">
      <selection activeCell="G29" sqref="G29"/>
    </sheetView>
  </sheetViews>
  <sheetFormatPr defaultRowHeight="15"/>
  <cols>
    <col min="2" max="2" width="25.5703125" customWidth="1"/>
    <col min="4" max="4" width="11.85546875" customWidth="1"/>
    <col min="5" max="5" width="22.42578125" customWidth="1"/>
    <col min="7" max="7" width="19.42578125" customWidth="1"/>
    <col min="12" max="12" width="16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111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97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112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73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1</v>
      </c>
      <c r="B12" s="49" t="s">
        <v>74</v>
      </c>
      <c r="C12" s="49"/>
      <c r="D12" s="49"/>
      <c r="E12" s="49" t="s">
        <v>75</v>
      </c>
      <c r="F12" s="49"/>
      <c r="G12" s="52" t="s">
        <v>76</v>
      </c>
      <c r="H12" s="53" t="s">
        <v>35</v>
      </c>
      <c r="I12" s="54">
        <v>329400</v>
      </c>
      <c r="J12" s="55"/>
      <c r="K12" s="56" t="s">
        <v>43</v>
      </c>
      <c r="L12" s="49" t="s">
        <v>37</v>
      </c>
    </row>
    <row r="13" spans="1:12">
      <c r="A13" s="49">
        <v>4</v>
      </c>
      <c r="B13" s="61" t="s">
        <v>77</v>
      </c>
      <c r="C13" s="49"/>
      <c r="D13" s="49"/>
      <c r="E13" s="49" t="s">
        <v>33</v>
      </c>
      <c r="F13" s="9"/>
      <c r="G13" s="9" t="s">
        <v>34</v>
      </c>
      <c r="H13" s="9" t="s">
        <v>35</v>
      </c>
      <c r="I13" s="66">
        <v>3000</v>
      </c>
      <c r="J13" s="67">
        <v>450</v>
      </c>
      <c r="K13" s="9" t="s">
        <v>36</v>
      </c>
      <c r="L13" s="30" t="s">
        <v>37</v>
      </c>
    </row>
    <row r="14" spans="1:12">
      <c r="A14" s="49">
        <v>8</v>
      </c>
      <c r="B14" s="49" t="s">
        <v>113</v>
      </c>
      <c r="C14" s="49"/>
      <c r="D14" s="49" t="s">
        <v>114</v>
      </c>
      <c r="E14" s="49" t="s">
        <v>115</v>
      </c>
      <c r="F14" s="49"/>
      <c r="G14" s="52" t="s">
        <v>116</v>
      </c>
      <c r="H14" s="53" t="s">
        <v>35</v>
      </c>
      <c r="I14" s="54">
        <v>2000</v>
      </c>
      <c r="J14" s="68"/>
      <c r="K14" s="56" t="s">
        <v>117</v>
      </c>
      <c r="L14" s="49" t="s">
        <v>37</v>
      </c>
    </row>
    <row r="15" spans="1:12">
      <c r="A15" s="49">
        <v>26</v>
      </c>
      <c r="B15" s="49" t="s">
        <v>118</v>
      </c>
      <c r="C15" s="49"/>
      <c r="D15" s="49"/>
      <c r="E15" s="49" t="s">
        <v>84</v>
      </c>
      <c r="F15" s="49"/>
      <c r="G15" s="52" t="s">
        <v>119</v>
      </c>
      <c r="H15" s="53" t="s">
        <v>35</v>
      </c>
      <c r="I15" s="54">
        <v>3000</v>
      </c>
      <c r="J15" s="68"/>
      <c r="K15" s="56" t="s">
        <v>36</v>
      </c>
      <c r="L15" s="49" t="s">
        <v>37</v>
      </c>
    </row>
    <row r="16" spans="1:12">
      <c r="A16" s="49">
        <v>26</v>
      </c>
      <c r="B16" s="49" t="s">
        <v>118</v>
      </c>
      <c r="C16" s="49"/>
      <c r="D16" s="49"/>
      <c r="E16" s="49" t="s">
        <v>84</v>
      </c>
      <c r="F16" s="49"/>
      <c r="G16" s="52" t="s">
        <v>119</v>
      </c>
      <c r="H16" s="53" t="s">
        <v>120</v>
      </c>
      <c r="I16" s="54">
        <v>50</v>
      </c>
      <c r="J16" s="68"/>
      <c r="K16" s="56" t="s">
        <v>43</v>
      </c>
      <c r="L16" s="49"/>
    </row>
    <row r="17" spans="1:12">
      <c r="A17" s="49">
        <v>26</v>
      </c>
      <c r="B17" s="49" t="s">
        <v>121</v>
      </c>
      <c r="C17" s="49"/>
      <c r="D17" s="49"/>
      <c r="E17" s="49" t="s">
        <v>122</v>
      </c>
      <c r="F17" s="49"/>
      <c r="G17" s="52" t="s">
        <v>123</v>
      </c>
      <c r="H17" s="53" t="s">
        <v>120</v>
      </c>
      <c r="I17" s="64">
        <v>50</v>
      </c>
      <c r="J17" s="68"/>
      <c r="K17" s="56" t="s">
        <v>43</v>
      </c>
      <c r="L17" s="49"/>
    </row>
    <row r="18" spans="1:12">
      <c r="A18" s="49"/>
      <c r="B18" s="49"/>
      <c r="C18" s="49"/>
      <c r="D18" s="49"/>
      <c r="E18" s="49"/>
      <c r="F18" s="49"/>
      <c r="G18" s="52"/>
      <c r="H18" s="53"/>
      <c r="I18" s="54"/>
      <c r="J18" s="68"/>
      <c r="K18" s="56"/>
      <c r="L18" s="49"/>
    </row>
    <row r="19" spans="1:12">
      <c r="A19" s="49"/>
      <c r="B19" s="49"/>
      <c r="C19" s="49"/>
      <c r="D19" s="49"/>
      <c r="E19" s="49"/>
      <c r="F19" s="49"/>
      <c r="G19" s="52"/>
      <c r="H19" s="53"/>
      <c r="I19" s="54"/>
      <c r="J19" s="68"/>
      <c r="K19" s="56"/>
      <c r="L19" s="49"/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68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5F7B-63FB-4637-B385-A538E2C28ACC}">
  <dimension ref="A1:L24"/>
  <sheetViews>
    <sheetView workbookViewId="0">
      <selection activeCell="K23" sqref="K23"/>
    </sheetView>
  </sheetViews>
  <sheetFormatPr defaultRowHeight="15"/>
  <cols>
    <col min="2" max="2" width="21.140625" customWidth="1"/>
    <col min="3" max="3" width="17.28515625" customWidth="1"/>
    <col min="4" max="4" width="13.42578125" customWidth="1"/>
    <col min="5" max="5" width="18.28515625" customWidth="1"/>
    <col min="7" max="7" width="16.4257812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125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126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127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73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8</v>
      </c>
      <c r="B12" s="49" t="s">
        <v>128</v>
      </c>
      <c r="C12" s="49"/>
      <c r="D12" s="49" t="s">
        <v>32</v>
      </c>
      <c r="E12" s="49" t="s">
        <v>129</v>
      </c>
      <c r="F12" s="49"/>
      <c r="G12" s="52" t="s">
        <v>130</v>
      </c>
      <c r="H12" s="53" t="s">
        <v>131</v>
      </c>
      <c r="I12" s="54">
        <v>20</v>
      </c>
      <c r="J12" s="55"/>
      <c r="K12" s="56" t="s">
        <v>43</v>
      </c>
      <c r="L12" s="49"/>
    </row>
    <row r="13" spans="1:12">
      <c r="A13" s="49">
        <v>8</v>
      </c>
      <c r="B13" s="49" t="s">
        <v>128</v>
      </c>
      <c r="C13" s="49"/>
      <c r="D13" s="49" t="s">
        <v>32</v>
      </c>
      <c r="E13" s="49" t="s">
        <v>129</v>
      </c>
      <c r="F13" s="49"/>
      <c r="G13" s="52" t="s">
        <v>130</v>
      </c>
      <c r="H13" s="9" t="s">
        <v>132</v>
      </c>
      <c r="I13" s="66">
        <v>8000</v>
      </c>
      <c r="J13" s="67"/>
      <c r="K13" s="9"/>
      <c r="L13" s="30" t="s">
        <v>37</v>
      </c>
    </row>
    <row r="14" spans="1:12">
      <c r="A14" s="49">
        <v>9</v>
      </c>
      <c r="B14" s="49" t="s">
        <v>133</v>
      </c>
      <c r="C14" s="49"/>
      <c r="D14" s="49" t="s">
        <v>32</v>
      </c>
      <c r="E14" s="49" t="s">
        <v>134</v>
      </c>
      <c r="F14" s="49"/>
      <c r="G14" s="52" t="s">
        <v>135</v>
      </c>
      <c r="H14" s="53" t="s">
        <v>132</v>
      </c>
      <c r="I14" s="54">
        <v>5000</v>
      </c>
      <c r="J14" s="68"/>
      <c r="K14" s="56" t="s">
        <v>43</v>
      </c>
      <c r="L14" s="49" t="s">
        <v>37</v>
      </c>
    </row>
    <row r="15" spans="1:12">
      <c r="A15" s="49">
        <v>22</v>
      </c>
      <c r="B15" s="49" t="s">
        <v>136</v>
      </c>
      <c r="C15" s="49"/>
      <c r="D15" s="49" t="s">
        <v>32</v>
      </c>
      <c r="E15" s="49" t="s">
        <v>137</v>
      </c>
      <c r="F15" s="49"/>
      <c r="G15" s="52" t="s">
        <v>46</v>
      </c>
      <c r="H15" s="53" t="s">
        <v>132</v>
      </c>
      <c r="I15" s="54">
        <v>4315</v>
      </c>
      <c r="J15" s="68"/>
      <c r="K15" s="56" t="s">
        <v>43</v>
      </c>
      <c r="L15" s="49" t="s">
        <v>37</v>
      </c>
    </row>
    <row r="16" spans="1:12">
      <c r="A16" s="49"/>
      <c r="B16" s="49"/>
      <c r="C16" s="49"/>
      <c r="D16" s="49"/>
      <c r="E16" s="49"/>
      <c r="F16" s="49"/>
      <c r="G16" s="52"/>
      <c r="H16" s="53"/>
      <c r="I16" s="54"/>
      <c r="J16" s="68"/>
      <c r="K16" s="56"/>
      <c r="L16" s="49"/>
    </row>
    <row r="17" spans="1:12">
      <c r="A17" s="49"/>
      <c r="B17" s="49"/>
      <c r="C17" s="49"/>
      <c r="D17" s="49"/>
      <c r="E17" s="49"/>
      <c r="F17" s="49"/>
      <c r="G17" s="52"/>
      <c r="H17" s="53"/>
      <c r="I17" s="64"/>
      <c r="J17" s="68"/>
      <c r="K17" s="56"/>
      <c r="L17" s="49"/>
    </row>
    <row r="18" spans="1:12">
      <c r="A18" s="49"/>
      <c r="B18" s="49"/>
      <c r="C18" s="49"/>
      <c r="D18" s="49"/>
      <c r="E18" s="49"/>
      <c r="F18" s="49"/>
      <c r="G18" s="52"/>
      <c r="H18" s="53"/>
      <c r="I18" s="54"/>
      <c r="J18" s="68"/>
      <c r="K18" s="56"/>
      <c r="L18" s="49"/>
    </row>
    <row r="19" spans="1:12">
      <c r="A19" s="49"/>
      <c r="B19" s="49"/>
      <c r="C19" s="49"/>
      <c r="D19" s="49"/>
      <c r="E19" s="49"/>
      <c r="F19" s="49"/>
      <c r="G19" s="52"/>
      <c r="H19" s="53"/>
      <c r="I19" s="54"/>
      <c r="J19" s="68"/>
      <c r="K19" s="56"/>
      <c r="L19" s="49"/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68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8923-50EA-4291-978D-33FD9D4A2DAE}">
  <dimension ref="A1:L24"/>
  <sheetViews>
    <sheetView workbookViewId="0">
      <selection activeCell="H28" sqref="H28"/>
    </sheetView>
  </sheetViews>
  <sheetFormatPr defaultRowHeight="15"/>
  <cols>
    <col min="2" max="2" width="16.42578125" customWidth="1"/>
    <col min="3" max="3" width="9.28515625" customWidth="1"/>
    <col min="4" max="4" width="18.140625" customWidth="1"/>
    <col min="5" max="5" width="17.140625" customWidth="1"/>
    <col min="7" max="7" width="21.7109375" customWidth="1"/>
    <col min="12" max="12" width="14.4257812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138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139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140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73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3</v>
      </c>
      <c r="B12" s="49" t="s">
        <v>141</v>
      </c>
      <c r="C12" s="49"/>
      <c r="D12" s="49" t="s">
        <v>32</v>
      </c>
      <c r="E12" s="49" t="s">
        <v>142</v>
      </c>
      <c r="F12" s="49"/>
      <c r="G12" s="52" t="s">
        <v>143</v>
      </c>
      <c r="H12" s="53" t="s">
        <v>35</v>
      </c>
      <c r="I12" s="54">
        <v>7500</v>
      </c>
      <c r="J12" s="55"/>
      <c r="K12" s="56" t="s">
        <v>43</v>
      </c>
      <c r="L12" s="49" t="s">
        <v>37</v>
      </c>
    </row>
    <row r="13" spans="1:12">
      <c r="A13" s="49">
        <v>4</v>
      </c>
      <c r="B13" s="49" t="s">
        <v>31</v>
      </c>
      <c r="C13" s="49"/>
      <c r="D13" s="49" t="s">
        <v>144</v>
      </c>
      <c r="E13" s="49" t="s">
        <v>33</v>
      </c>
      <c r="F13" s="9"/>
      <c r="G13" s="9" t="s">
        <v>145</v>
      </c>
      <c r="H13" s="9" t="s">
        <v>35</v>
      </c>
      <c r="I13" s="66">
        <v>4000</v>
      </c>
      <c r="J13" s="67">
        <v>600</v>
      </c>
      <c r="K13" s="9" t="s">
        <v>36</v>
      </c>
      <c r="L13" s="30" t="s">
        <v>37</v>
      </c>
    </row>
    <row r="14" spans="1:12">
      <c r="A14" s="49">
        <v>7</v>
      </c>
      <c r="B14" s="49" t="s">
        <v>31</v>
      </c>
      <c r="C14" s="49"/>
      <c r="D14" s="49"/>
      <c r="E14" s="49" t="s">
        <v>33</v>
      </c>
      <c r="F14" s="49"/>
      <c r="G14" s="52" t="s">
        <v>145</v>
      </c>
      <c r="H14" s="53" t="s">
        <v>35</v>
      </c>
      <c r="I14" s="54">
        <v>10000</v>
      </c>
      <c r="J14" s="68">
        <v>1500</v>
      </c>
      <c r="K14" s="56" t="s">
        <v>36</v>
      </c>
      <c r="L14" s="49" t="s">
        <v>37</v>
      </c>
    </row>
    <row r="15" spans="1:12">
      <c r="A15" s="49">
        <v>21</v>
      </c>
      <c r="B15" s="49" t="s">
        <v>146</v>
      </c>
      <c r="C15" s="49"/>
      <c r="D15" s="49" t="s">
        <v>147</v>
      </c>
      <c r="E15" s="49" t="s">
        <v>148</v>
      </c>
      <c r="F15" s="49"/>
      <c r="G15" s="52" t="s">
        <v>149</v>
      </c>
      <c r="H15" s="53" t="s">
        <v>35</v>
      </c>
      <c r="I15" s="54">
        <v>23750</v>
      </c>
      <c r="J15" s="68"/>
      <c r="K15" s="56" t="s">
        <v>43</v>
      </c>
      <c r="L15" s="49" t="s">
        <v>37</v>
      </c>
    </row>
    <row r="16" spans="1:12">
      <c r="A16" s="49"/>
      <c r="B16" s="49"/>
      <c r="C16" s="49"/>
      <c r="D16" s="49"/>
      <c r="E16" s="49"/>
      <c r="F16" s="49"/>
      <c r="G16" s="52"/>
      <c r="H16" s="53"/>
      <c r="I16" s="54"/>
      <c r="J16" s="68"/>
      <c r="K16" s="56"/>
      <c r="L16" s="49"/>
    </row>
    <row r="17" spans="1:12">
      <c r="A17" s="49"/>
      <c r="B17" s="49"/>
      <c r="C17" s="49"/>
      <c r="D17" s="49"/>
      <c r="E17" s="49"/>
      <c r="F17" s="49"/>
      <c r="G17" s="52"/>
      <c r="H17" s="53"/>
      <c r="I17" s="64"/>
      <c r="J17" s="68"/>
      <c r="K17" s="56"/>
      <c r="L17" s="49"/>
    </row>
    <row r="18" spans="1:12">
      <c r="A18" s="49"/>
      <c r="B18" s="49"/>
      <c r="C18" s="49"/>
      <c r="D18" s="49"/>
      <c r="E18" s="49"/>
      <c r="F18" s="49"/>
      <c r="G18" s="52"/>
      <c r="H18" s="53"/>
      <c r="I18" s="54"/>
      <c r="J18" s="68"/>
      <c r="K18" s="56"/>
      <c r="L18" s="49"/>
    </row>
    <row r="19" spans="1:12">
      <c r="A19" s="49"/>
      <c r="B19" s="49"/>
      <c r="C19" s="49"/>
      <c r="D19" s="49"/>
      <c r="E19" s="49"/>
      <c r="F19" s="49"/>
      <c r="G19" s="52"/>
      <c r="H19" s="53"/>
      <c r="I19" s="54"/>
      <c r="J19" s="68"/>
      <c r="K19" s="56"/>
      <c r="L19" s="49"/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68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BA67-F328-4DF2-B313-9A73280B7510}">
  <dimension ref="A1:L24"/>
  <sheetViews>
    <sheetView workbookViewId="0">
      <selection activeCell="M31" sqref="M31"/>
    </sheetView>
  </sheetViews>
  <sheetFormatPr defaultRowHeight="15"/>
  <cols>
    <col min="2" max="2" width="21.85546875" customWidth="1"/>
    <col min="4" max="4" width="17.42578125" customWidth="1"/>
    <col min="5" max="5" width="14.140625" customWidth="1"/>
    <col min="7" max="7" width="16.85546875" customWidth="1"/>
    <col min="12" max="12" width="18.14062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150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139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140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73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1</v>
      </c>
      <c r="B12" s="49" t="s">
        <v>151</v>
      </c>
      <c r="C12" s="49"/>
      <c r="D12" s="49" t="s">
        <v>32</v>
      </c>
      <c r="E12" s="49" t="s">
        <v>152</v>
      </c>
      <c r="F12" s="49"/>
      <c r="G12" s="52" t="s">
        <v>153</v>
      </c>
      <c r="H12" s="53" t="s">
        <v>35</v>
      </c>
      <c r="I12" s="54">
        <v>7050</v>
      </c>
      <c r="J12" s="55"/>
      <c r="K12" s="56" t="s">
        <v>43</v>
      </c>
      <c r="L12" s="49" t="s">
        <v>37</v>
      </c>
    </row>
    <row r="13" spans="1:12">
      <c r="A13" s="49">
        <v>2</v>
      </c>
      <c r="B13" s="49" t="s">
        <v>154</v>
      </c>
      <c r="C13" s="49"/>
      <c r="D13" s="49" t="s">
        <v>155</v>
      </c>
      <c r="E13" s="49" t="s">
        <v>156</v>
      </c>
      <c r="F13" s="9"/>
      <c r="G13" s="9" t="s">
        <v>135</v>
      </c>
      <c r="H13" s="9" t="s">
        <v>35</v>
      </c>
      <c r="I13" s="66">
        <v>6000</v>
      </c>
      <c r="J13" s="67"/>
      <c r="K13" s="9" t="s">
        <v>43</v>
      </c>
      <c r="L13" s="30" t="s">
        <v>37</v>
      </c>
    </row>
    <row r="14" spans="1:12">
      <c r="A14" s="49">
        <v>12</v>
      </c>
      <c r="B14" s="49" t="s">
        <v>157</v>
      </c>
      <c r="C14" s="49"/>
      <c r="D14" s="49" t="s">
        <v>32</v>
      </c>
      <c r="E14" s="49" t="s">
        <v>158</v>
      </c>
      <c r="F14" s="49"/>
      <c r="G14" s="52" t="s">
        <v>159</v>
      </c>
      <c r="H14" s="53" t="s">
        <v>35</v>
      </c>
      <c r="I14" s="54">
        <v>12500</v>
      </c>
      <c r="J14" s="68"/>
      <c r="K14" s="56" t="s">
        <v>43</v>
      </c>
      <c r="L14" s="49" t="s">
        <v>37</v>
      </c>
    </row>
    <row r="15" spans="1:12">
      <c r="A15" s="49">
        <v>18</v>
      </c>
      <c r="B15" s="49" t="s">
        <v>160</v>
      </c>
      <c r="C15" s="49"/>
      <c r="D15" s="49" t="s">
        <v>32</v>
      </c>
      <c r="E15" s="49" t="s">
        <v>51</v>
      </c>
      <c r="F15" s="49"/>
      <c r="G15" s="52" t="s">
        <v>161</v>
      </c>
      <c r="H15" s="53" t="s">
        <v>35</v>
      </c>
      <c r="I15" s="54">
        <v>8500</v>
      </c>
      <c r="J15" s="68"/>
      <c r="K15" s="56" t="s">
        <v>43</v>
      </c>
      <c r="L15" s="49" t="s">
        <v>37</v>
      </c>
    </row>
    <row r="16" spans="1:12">
      <c r="A16" s="49">
        <v>23</v>
      </c>
      <c r="B16" s="49" t="s">
        <v>162</v>
      </c>
      <c r="C16" s="49"/>
      <c r="D16" s="49" t="s">
        <v>163</v>
      </c>
      <c r="E16" s="49" t="s">
        <v>164</v>
      </c>
      <c r="F16" s="49"/>
      <c r="G16" s="52" t="s">
        <v>165</v>
      </c>
      <c r="H16" s="53" t="s">
        <v>35</v>
      </c>
      <c r="I16" s="54">
        <v>43350</v>
      </c>
      <c r="J16" s="68"/>
      <c r="K16" s="56" t="s">
        <v>43</v>
      </c>
      <c r="L16" s="49" t="s">
        <v>37</v>
      </c>
    </row>
    <row r="17" spans="1:12">
      <c r="A17" s="49">
        <v>24</v>
      </c>
      <c r="B17" s="49" t="s">
        <v>47</v>
      </c>
      <c r="C17" s="49"/>
      <c r="D17" s="49" t="s">
        <v>166</v>
      </c>
      <c r="E17" s="49" t="s">
        <v>48</v>
      </c>
      <c r="F17" s="49"/>
      <c r="G17" s="52" t="s">
        <v>49</v>
      </c>
      <c r="H17" s="53" t="s">
        <v>35</v>
      </c>
      <c r="I17" s="64">
        <v>1500</v>
      </c>
      <c r="J17" s="68"/>
      <c r="K17" s="56" t="s">
        <v>43</v>
      </c>
      <c r="L17" s="49" t="s">
        <v>37</v>
      </c>
    </row>
    <row r="18" spans="1:12">
      <c r="A18" s="49"/>
      <c r="B18" s="49"/>
      <c r="C18" s="49"/>
      <c r="D18" s="49"/>
      <c r="E18" s="49"/>
      <c r="F18" s="49"/>
      <c r="G18" s="52"/>
      <c r="H18" s="53"/>
      <c r="I18" s="54"/>
      <c r="J18" s="68"/>
      <c r="K18" s="56"/>
      <c r="L18" s="49"/>
    </row>
    <row r="19" spans="1:12">
      <c r="A19" s="49"/>
      <c r="B19" s="49"/>
      <c r="C19" s="49"/>
      <c r="D19" s="49"/>
      <c r="E19" s="49"/>
      <c r="F19" s="49"/>
      <c r="G19" s="52"/>
      <c r="H19" s="53"/>
      <c r="I19" s="54"/>
      <c r="J19" s="68"/>
      <c r="K19" s="56"/>
      <c r="L19" s="49"/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68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810A-4AFA-4D47-89CC-3E2F92955582}">
  <dimension ref="A1:L24"/>
  <sheetViews>
    <sheetView workbookViewId="0">
      <selection activeCell="B14" sqref="B14"/>
    </sheetView>
  </sheetViews>
  <sheetFormatPr defaultRowHeight="15"/>
  <cols>
    <col min="2" max="2" width="26.85546875" customWidth="1"/>
    <col min="4" max="4" width="15.28515625" customWidth="1"/>
    <col min="5" max="5" width="19.140625" customWidth="1"/>
    <col min="7" max="7" width="20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167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70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112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168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6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2</v>
      </c>
      <c r="B12" s="49" t="s">
        <v>169</v>
      </c>
      <c r="C12" s="49"/>
      <c r="D12" s="49"/>
      <c r="E12" s="49"/>
      <c r="F12" s="49"/>
      <c r="G12" s="52" t="s">
        <v>91</v>
      </c>
      <c r="H12" s="53" t="s">
        <v>170</v>
      </c>
      <c r="I12" s="54">
        <v>20000</v>
      </c>
      <c r="J12" s="55"/>
      <c r="K12" s="56" t="s">
        <v>43</v>
      </c>
      <c r="L12" s="49" t="s">
        <v>37</v>
      </c>
    </row>
    <row r="13" spans="1:12">
      <c r="A13" s="49">
        <v>2</v>
      </c>
      <c r="B13" s="49" t="s">
        <v>171</v>
      </c>
      <c r="C13" s="49"/>
      <c r="D13" s="49" t="s">
        <v>172</v>
      </c>
      <c r="E13" s="49" t="s">
        <v>173</v>
      </c>
      <c r="F13" s="9"/>
      <c r="G13" s="9" t="s">
        <v>174</v>
      </c>
      <c r="H13" s="9" t="s">
        <v>35</v>
      </c>
      <c r="I13" s="66">
        <v>4000</v>
      </c>
      <c r="J13" s="67"/>
      <c r="K13" s="9" t="s">
        <v>43</v>
      </c>
      <c r="L13" s="30" t="s">
        <v>37</v>
      </c>
    </row>
    <row r="14" spans="1:12">
      <c r="A14" s="49">
        <v>9</v>
      </c>
      <c r="B14" s="49" t="s">
        <v>175</v>
      </c>
      <c r="C14" s="49"/>
      <c r="D14" s="49"/>
      <c r="E14" s="49"/>
      <c r="F14" s="49"/>
      <c r="G14" s="52"/>
      <c r="H14" s="53"/>
      <c r="I14" s="54"/>
      <c r="J14" s="68"/>
      <c r="K14" s="56" t="s">
        <v>43</v>
      </c>
      <c r="L14" s="49" t="s">
        <v>37</v>
      </c>
    </row>
    <row r="15" spans="1:12">
      <c r="A15" s="49">
        <v>9</v>
      </c>
      <c r="B15" s="49" t="s">
        <v>176</v>
      </c>
      <c r="C15" s="49"/>
      <c r="D15" s="49"/>
      <c r="E15" s="49" t="s">
        <v>177</v>
      </c>
      <c r="F15" s="49"/>
      <c r="G15" s="52" t="s">
        <v>178</v>
      </c>
      <c r="H15" s="53" t="s">
        <v>179</v>
      </c>
      <c r="I15" s="54">
        <v>5000</v>
      </c>
      <c r="J15" s="68"/>
      <c r="K15" s="56" t="s">
        <v>43</v>
      </c>
      <c r="L15" s="49" t="s">
        <v>37</v>
      </c>
    </row>
    <row r="16" spans="1:12">
      <c r="A16" s="49">
        <v>9</v>
      </c>
      <c r="B16" s="49" t="s">
        <v>176</v>
      </c>
      <c r="C16" s="49"/>
      <c r="D16" s="49"/>
      <c r="E16" s="49" t="s">
        <v>177</v>
      </c>
      <c r="F16" s="49"/>
      <c r="G16" s="52" t="s">
        <v>178</v>
      </c>
      <c r="H16" s="53" t="s">
        <v>180</v>
      </c>
      <c r="I16" s="54">
        <v>5000</v>
      </c>
      <c r="J16" s="68"/>
      <c r="K16" s="56" t="s">
        <v>43</v>
      </c>
      <c r="L16" s="49" t="s">
        <v>37</v>
      </c>
    </row>
    <row r="17" spans="1:12">
      <c r="A17" s="49">
        <v>14</v>
      </c>
      <c r="B17" s="49" t="s">
        <v>181</v>
      </c>
      <c r="C17" s="49"/>
      <c r="D17" s="49" t="s">
        <v>32</v>
      </c>
      <c r="E17" s="49" t="s">
        <v>33</v>
      </c>
      <c r="F17" s="49"/>
      <c r="G17" s="52" t="s">
        <v>145</v>
      </c>
      <c r="H17" s="53" t="s">
        <v>182</v>
      </c>
      <c r="I17" s="64">
        <v>23000</v>
      </c>
      <c r="J17" s="68">
        <v>4600</v>
      </c>
      <c r="K17" s="56" t="s">
        <v>36</v>
      </c>
      <c r="L17" s="49" t="s">
        <v>37</v>
      </c>
    </row>
    <row r="18" spans="1:12">
      <c r="A18" s="49">
        <v>19</v>
      </c>
      <c r="B18" s="49" t="s">
        <v>136</v>
      </c>
      <c r="C18" s="49"/>
      <c r="D18" s="49" t="s">
        <v>32</v>
      </c>
      <c r="E18" s="49" t="s">
        <v>137</v>
      </c>
      <c r="F18" s="49"/>
      <c r="G18" s="52" t="s">
        <v>46</v>
      </c>
      <c r="H18" s="53" t="s">
        <v>35</v>
      </c>
      <c r="I18" s="54">
        <v>20000</v>
      </c>
      <c r="J18" s="68"/>
      <c r="K18" s="56" t="s">
        <v>43</v>
      </c>
      <c r="L18" s="49" t="s">
        <v>37</v>
      </c>
    </row>
    <row r="19" spans="1:12">
      <c r="A19" s="49">
        <v>29</v>
      </c>
      <c r="B19" s="49" t="s">
        <v>183</v>
      </c>
      <c r="C19" s="49"/>
      <c r="D19" s="49" t="s">
        <v>32</v>
      </c>
      <c r="E19" s="49" t="s">
        <v>184</v>
      </c>
      <c r="F19" s="49"/>
      <c r="G19" s="52" t="s">
        <v>185</v>
      </c>
      <c r="H19" s="53" t="s">
        <v>35</v>
      </c>
      <c r="I19" s="54">
        <v>7500</v>
      </c>
      <c r="J19" s="68"/>
      <c r="K19" s="56" t="s">
        <v>43</v>
      </c>
      <c r="L19" s="49" t="s">
        <v>37</v>
      </c>
    </row>
    <row r="20" spans="1:12">
      <c r="A20" s="49">
        <v>29</v>
      </c>
      <c r="B20" s="49" t="s">
        <v>186</v>
      </c>
      <c r="C20" s="49"/>
      <c r="D20" s="49" t="s">
        <v>83</v>
      </c>
      <c r="E20" s="49" t="s">
        <v>84</v>
      </c>
      <c r="F20" s="49"/>
      <c r="G20" s="52" t="s">
        <v>187</v>
      </c>
      <c r="H20" s="53" t="s">
        <v>35</v>
      </c>
      <c r="I20" s="54">
        <v>500</v>
      </c>
      <c r="J20" s="68"/>
      <c r="K20" s="56" t="s">
        <v>43</v>
      </c>
      <c r="L20" s="49" t="s">
        <v>37</v>
      </c>
    </row>
    <row r="21" spans="1:12">
      <c r="A21" s="49">
        <v>29</v>
      </c>
      <c r="B21" s="49" t="s">
        <v>186</v>
      </c>
      <c r="C21" s="49"/>
      <c r="D21" s="49" t="s">
        <v>83</v>
      </c>
      <c r="E21" s="49" t="s">
        <v>84</v>
      </c>
      <c r="F21" s="49"/>
      <c r="G21" s="52" t="s">
        <v>187</v>
      </c>
      <c r="H21" s="53" t="s">
        <v>170</v>
      </c>
      <c r="I21" s="54">
        <v>20000</v>
      </c>
      <c r="J21" s="55"/>
      <c r="K21" s="56" t="s">
        <v>43</v>
      </c>
      <c r="L21" s="49" t="s">
        <v>37</v>
      </c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BA94-455F-4D41-AEDF-024EC13431C9}">
  <dimension ref="A1:L23"/>
  <sheetViews>
    <sheetView workbookViewId="0">
      <selection activeCell="B22" sqref="B22"/>
    </sheetView>
  </sheetViews>
  <sheetFormatPr defaultRowHeight="15"/>
  <cols>
    <col min="2" max="2" width="26.5703125" customWidth="1"/>
    <col min="3" max="3" width="11.28515625" customWidth="1"/>
    <col min="4" max="4" width="21.28515625" customWidth="1"/>
    <col min="5" max="5" width="17.42578125" customWidth="1"/>
    <col min="7" max="7" width="28.140625" customWidth="1"/>
    <col min="8" max="8" width="19.28515625" customWidth="1"/>
    <col min="9" max="9" width="22.5703125" customWidth="1"/>
    <col min="12" max="12" width="30.7109375" customWidth="1"/>
  </cols>
  <sheetData>
    <row r="1" spans="1:12" ht="23.25">
      <c r="A1" s="249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82"/>
    </row>
    <row r="2" spans="1:12" ht="18">
      <c r="A2" s="183"/>
      <c r="B2" s="184"/>
      <c r="C2" s="250" t="s">
        <v>96</v>
      </c>
      <c r="D2" s="241"/>
      <c r="E2" s="241"/>
      <c r="F2" s="241"/>
      <c r="G2" s="241"/>
      <c r="H2" s="241"/>
      <c r="I2" s="185"/>
      <c r="J2" s="186"/>
      <c r="K2" s="187"/>
      <c r="L2" s="187"/>
    </row>
    <row r="3" spans="1:12">
      <c r="A3" s="183"/>
      <c r="B3" s="184"/>
      <c r="C3" s="188"/>
      <c r="D3" s="184"/>
      <c r="E3" s="184"/>
      <c r="G3" s="184"/>
      <c r="H3" s="188"/>
      <c r="I3" s="185"/>
      <c r="J3" s="186"/>
      <c r="K3" s="189" t="s">
        <v>2837</v>
      </c>
      <c r="L3" s="190"/>
    </row>
    <row r="4" spans="1:12">
      <c r="A4" s="183"/>
      <c r="B4" s="184"/>
      <c r="C4" s="188"/>
      <c r="D4" s="184"/>
      <c r="E4" s="184"/>
      <c r="G4" s="184"/>
      <c r="H4" s="188"/>
      <c r="I4" s="185"/>
      <c r="J4" s="186"/>
      <c r="K4" s="191" t="s">
        <v>2838</v>
      </c>
      <c r="L4" s="192"/>
    </row>
    <row r="5" spans="1:12">
      <c r="A5" s="183"/>
      <c r="B5" s="184"/>
      <c r="C5" s="188"/>
      <c r="D5" s="184"/>
      <c r="E5" s="184"/>
      <c r="G5" s="184"/>
      <c r="H5" s="188"/>
      <c r="I5" s="185"/>
      <c r="J5" s="186"/>
      <c r="K5" s="191" t="s">
        <v>2839</v>
      </c>
      <c r="L5" s="192"/>
    </row>
    <row r="6" spans="1:12" ht="18">
      <c r="A6" s="193" t="s">
        <v>5</v>
      </c>
      <c r="B6" s="194"/>
      <c r="C6" s="195"/>
      <c r="D6" s="184"/>
      <c r="E6" s="196"/>
      <c r="F6" s="187"/>
      <c r="G6" s="184"/>
      <c r="H6" s="188"/>
      <c r="I6" s="185"/>
      <c r="J6" s="186"/>
      <c r="K6" s="197" t="s">
        <v>2840</v>
      </c>
      <c r="L6" s="198"/>
    </row>
    <row r="7" spans="1:12">
      <c r="A7" s="199"/>
      <c r="B7" s="200"/>
      <c r="C7" s="201" t="s">
        <v>7</v>
      </c>
      <c r="D7" s="202"/>
      <c r="E7" s="202"/>
      <c r="F7" s="203" t="s">
        <v>8</v>
      </c>
      <c r="G7" s="201" t="s">
        <v>9</v>
      </c>
      <c r="H7" s="251" t="s">
        <v>10</v>
      </c>
      <c r="I7" s="252"/>
      <c r="J7" s="204"/>
      <c r="K7" s="253" t="s">
        <v>11</v>
      </c>
      <c r="L7" s="254"/>
    </row>
    <row r="8" spans="1:12">
      <c r="A8" s="255" t="s">
        <v>12</v>
      </c>
      <c r="B8" s="256"/>
      <c r="C8" s="203" t="s">
        <v>13</v>
      </c>
      <c r="D8" s="205" t="s">
        <v>14</v>
      </c>
      <c r="E8" s="206" t="s">
        <v>15</v>
      </c>
      <c r="F8" s="203" t="s">
        <v>16</v>
      </c>
      <c r="G8" s="207" t="s">
        <v>17</v>
      </c>
      <c r="H8" s="208"/>
      <c r="I8" s="209" t="s">
        <v>18</v>
      </c>
      <c r="J8" s="210" t="s">
        <v>19</v>
      </c>
      <c r="K8" s="211"/>
      <c r="L8" s="190"/>
    </row>
    <row r="9" spans="1:12">
      <c r="A9" s="212"/>
      <c r="B9" s="213"/>
      <c r="C9" s="203" t="s">
        <v>20</v>
      </c>
      <c r="D9" s="214"/>
      <c r="E9" s="213"/>
      <c r="F9" s="203" t="s">
        <v>21</v>
      </c>
      <c r="G9" s="207" t="s">
        <v>22</v>
      </c>
      <c r="H9" s="215" t="s">
        <v>23</v>
      </c>
      <c r="I9" s="209" t="s">
        <v>24</v>
      </c>
      <c r="J9" s="216"/>
      <c r="K9" s="205" t="s">
        <v>25</v>
      </c>
      <c r="L9" s="205" t="s">
        <v>26</v>
      </c>
    </row>
    <row r="10" spans="1:12">
      <c r="A10" s="217"/>
      <c r="B10" s="218"/>
      <c r="C10" s="219"/>
      <c r="D10" s="220"/>
      <c r="E10" s="220"/>
      <c r="F10" s="221" t="s">
        <v>27</v>
      </c>
      <c r="G10" s="222"/>
      <c r="H10" s="223"/>
      <c r="I10" s="224" t="s">
        <v>28</v>
      </c>
      <c r="J10" s="225"/>
      <c r="K10" s="226"/>
      <c r="L10" s="222" t="s">
        <v>29</v>
      </c>
    </row>
    <row r="11" spans="1:12">
      <c r="A11" s="227" t="s">
        <v>30</v>
      </c>
      <c r="B11" s="228"/>
      <c r="C11" s="229"/>
      <c r="D11" s="228"/>
      <c r="E11" s="228"/>
      <c r="F11" s="230"/>
      <c r="G11" s="228"/>
      <c r="H11" s="229"/>
      <c r="I11" s="231"/>
      <c r="J11" s="232"/>
      <c r="K11" s="230"/>
      <c r="L11" s="230"/>
    </row>
    <row r="12" spans="1:12">
      <c r="A12" s="230">
        <v>1</v>
      </c>
      <c r="B12" s="230" t="s">
        <v>31</v>
      </c>
      <c r="C12" s="230"/>
      <c r="D12" s="230" t="s">
        <v>32</v>
      </c>
      <c r="E12" s="230" t="s">
        <v>33</v>
      </c>
      <c r="F12" s="230"/>
      <c r="G12" s="233" t="s">
        <v>34</v>
      </c>
      <c r="H12" s="234" t="s">
        <v>35</v>
      </c>
      <c r="I12" s="235">
        <v>2000</v>
      </c>
      <c r="J12" s="236">
        <v>300</v>
      </c>
      <c r="K12" s="237" t="s">
        <v>36</v>
      </c>
      <c r="L12" s="230" t="s">
        <v>37</v>
      </c>
    </row>
    <row r="13" spans="1:12">
      <c r="A13" s="230">
        <v>9</v>
      </c>
      <c r="B13" s="230" t="s">
        <v>74</v>
      </c>
      <c r="C13" s="230"/>
      <c r="D13" s="230"/>
      <c r="E13" s="230" t="s">
        <v>75</v>
      </c>
      <c r="F13" s="230"/>
      <c r="G13" s="233" t="s">
        <v>76</v>
      </c>
      <c r="H13" s="234" t="s">
        <v>35</v>
      </c>
      <c r="I13" s="235">
        <v>65000</v>
      </c>
      <c r="J13" s="236"/>
      <c r="K13" s="237" t="s">
        <v>43</v>
      </c>
      <c r="L13" s="230" t="s">
        <v>37</v>
      </c>
    </row>
    <row r="14" spans="1:12">
      <c r="A14" s="230">
        <v>13</v>
      </c>
      <c r="B14" s="230" t="s">
        <v>98</v>
      </c>
      <c r="C14" s="230"/>
      <c r="D14" s="230" t="s">
        <v>32</v>
      </c>
      <c r="E14" s="230" t="s">
        <v>99</v>
      </c>
      <c r="F14" s="230"/>
      <c r="G14" s="233" t="s">
        <v>98</v>
      </c>
      <c r="H14" s="234" t="s">
        <v>100</v>
      </c>
      <c r="I14" s="235">
        <v>800</v>
      </c>
      <c r="J14" s="236"/>
      <c r="K14" s="237"/>
      <c r="L14" s="230"/>
    </row>
    <row r="15" spans="1:12">
      <c r="A15" s="230">
        <v>14</v>
      </c>
      <c r="B15" s="230" t="s">
        <v>74</v>
      </c>
      <c r="C15" s="230"/>
      <c r="D15" s="230"/>
      <c r="E15" s="230" t="s">
        <v>75</v>
      </c>
      <c r="F15" s="230"/>
      <c r="G15" s="233" t="s">
        <v>76</v>
      </c>
      <c r="H15" s="234" t="s">
        <v>35</v>
      </c>
      <c r="I15" s="235">
        <v>14000</v>
      </c>
      <c r="J15" s="236"/>
      <c r="K15" s="237" t="s">
        <v>43</v>
      </c>
      <c r="L15" s="230"/>
    </row>
    <row r="16" spans="1:12">
      <c r="A16" s="230">
        <v>14</v>
      </c>
      <c r="B16" s="230" t="s">
        <v>101</v>
      </c>
      <c r="C16" s="230"/>
      <c r="D16" s="230" t="s">
        <v>102</v>
      </c>
      <c r="E16" s="230" t="s">
        <v>75</v>
      </c>
      <c r="F16" s="230"/>
      <c r="G16" s="233"/>
      <c r="H16" s="234" t="s">
        <v>103</v>
      </c>
      <c r="I16" s="238" t="s">
        <v>104</v>
      </c>
      <c r="J16" s="236">
        <v>2250</v>
      </c>
      <c r="K16" s="237"/>
      <c r="L16" s="230"/>
    </row>
    <row r="17" spans="1:12">
      <c r="A17" s="230">
        <v>21</v>
      </c>
      <c r="B17" s="230" t="s">
        <v>105</v>
      </c>
      <c r="C17" s="230"/>
      <c r="D17" s="230" t="s">
        <v>32</v>
      </c>
      <c r="E17" s="230" t="s">
        <v>106</v>
      </c>
      <c r="F17" s="230"/>
      <c r="G17" s="233" t="s">
        <v>107</v>
      </c>
      <c r="H17" s="234" t="s">
        <v>108</v>
      </c>
      <c r="I17" s="235">
        <v>344</v>
      </c>
      <c r="J17" s="236"/>
      <c r="K17" s="237"/>
      <c r="L17" s="230"/>
    </row>
    <row r="18" spans="1:12">
      <c r="A18" s="230"/>
      <c r="B18" s="230"/>
      <c r="C18" s="230"/>
      <c r="D18" s="230"/>
      <c r="E18" s="230"/>
      <c r="F18" s="230"/>
      <c r="G18" s="233"/>
      <c r="H18" s="234"/>
      <c r="I18" s="235"/>
      <c r="J18" s="236"/>
      <c r="K18" s="237"/>
      <c r="L18" s="230"/>
    </row>
    <row r="19" spans="1:12">
      <c r="A19" s="230"/>
      <c r="B19" s="230"/>
      <c r="C19" s="230"/>
      <c r="D19" s="230"/>
      <c r="E19" s="230"/>
      <c r="F19" s="230"/>
      <c r="G19" s="233"/>
      <c r="H19" s="234"/>
      <c r="I19" s="235"/>
      <c r="J19" s="236"/>
      <c r="K19" s="237"/>
      <c r="L19" s="230"/>
    </row>
    <row r="20" spans="1:12">
      <c r="A20" s="230"/>
      <c r="B20" s="230"/>
      <c r="C20" s="230"/>
      <c r="D20" s="230"/>
      <c r="E20" s="230"/>
      <c r="F20" s="230"/>
      <c r="G20" s="233"/>
      <c r="H20" s="234"/>
      <c r="I20" s="235"/>
      <c r="J20" s="236"/>
      <c r="K20" s="237"/>
      <c r="L20" s="230"/>
    </row>
    <row r="21" spans="1:12">
      <c r="A21" s="230"/>
      <c r="B21" s="230"/>
      <c r="C21" s="230"/>
      <c r="D21" s="230"/>
      <c r="E21" s="230"/>
      <c r="F21" s="230"/>
      <c r="G21" s="233"/>
      <c r="H21" s="234"/>
      <c r="I21" s="235"/>
      <c r="J21" s="236"/>
      <c r="K21" s="237"/>
      <c r="L21" s="230"/>
    </row>
    <row r="22" spans="1:12">
      <c r="A22" s="230"/>
      <c r="B22" s="237"/>
      <c r="C22" s="230"/>
      <c r="D22" s="237"/>
      <c r="E22" s="237"/>
      <c r="F22" s="230"/>
      <c r="G22" s="237"/>
      <c r="H22" s="234"/>
      <c r="I22" s="239"/>
      <c r="J22" s="230"/>
      <c r="K22" s="237"/>
      <c r="L22" s="211"/>
    </row>
    <row r="23" spans="1:12">
      <c r="A23" s="230"/>
      <c r="B23" s="237"/>
      <c r="C23" s="237"/>
      <c r="D23" s="237"/>
      <c r="E23" s="237"/>
      <c r="F23" s="230"/>
      <c r="G23" s="237"/>
      <c r="H23" s="234"/>
      <c r="I23" s="231"/>
      <c r="J23" s="234"/>
      <c r="K23" s="237"/>
      <c r="L23" s="237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67AD8-8FF0-494A-AECD-947FAE3058C3}">
  <dimension ref="A1:L23"/>
  <sheetViews>
    <sheetView workbookViewId="0">
      <selection activeCell="K32" sqref="K32"/>
    </sheetView>
  </sheetViews>
  <sheetFormatPr defaultRowHeight="15"/>
  <cols>
    <col min="2" max="2" width="22.5703125" customWidth="1"/>
    <col min="3" max="3" width="14.5703125" customWidth="1"/>
    <col min="4" max="4" width="15.28515625" customWidth="1"/>
    <col min="5" max="5" width="16.7109375" customWidth="1"/>
    <col min="7" max="7" width="15" customWidth="1"/>
    <col min="12" max="12" width="12.710937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188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189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190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191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2</v>
      </c>
      <c r="B12" s="49" t="s">
        <v>74</v>
      </c>
      <c r="C12" s="49"/>
      <c r="D12" s="49"/>
      <c r="E12" s="49" t="s">
        <v>75</v>
      </c>
      <c r="F12" s="49"/>
      <c r="G12" s="52" t="s">
        <v>76</v>
      </c>
      <c r="H12" s="53" t="s">
        <v>35</v>
      </c>
      <c r="I12" s="54">
        <v>24000</v>
      </c>
      <c r="J12" s="55"/>
      <c r="K12" s="56" t="s">
        <v>43</v>
      </c>
      <c r="L12" s="49" t="s">
        <v>37</v>
      </c>
    </row>
    <row r="13" spans="1:12">
      <c r="A13" s="49">
        <v>5</v>
      </c>
      <c r="B13" s="49" t="s">
        <v>192</v>
      </c>
      <c r="C13" s="49"/>
      <c r="D13" s="49" t="s">
        <v>32</v>
      </c>
      <c r="E13" s="49" t="s">
        <v>193</v>
      </c>
      <c r="F13" s="9"/>
      <c r="G13" s="9"/>
      <c r="H13" s="9" t="s">
        <v>35</v>
      </c>
      <c r="I13" s="66">
        <v>4000</v>
      </c>
      <c r="J13" s="67">
        <v>800</v>
      </c>
      <c r="K13" s="9" t="s">
        <v>36</v>
      </c>
      <c r="L13" s="30" t="s">
        <v>37</v>
      </c>
    </row>
    <row r="14" spans="1:12">
      <c r="A14" s="49">
        <v>8</v>
      </c>
      <c r="B14" s="49" t="s">
        <v>194</v>
      </c>
      <c r="C14" s="49"/>
      <c r="D14" s="49" t="s">
        <v>195</v>
      </c>
      <c r="E14" s="49" t="s">
        <v>80</v>
      </c>
      <c r="F14" s="49"/>
      <c r="G14" s="52" t="s">
        <v>196</v>
      </c>
      <c r="H14" s="53" t="s">
        <v>35</v>
      </c>
      <c r="I14" s="54">
        <v>15000</v>
      </c>
      <c r="J14" s="68"/>
      <c r="K14" s="56" t="s">
        <v>43</v>
      </c>
      <c r="L14" s="49" t="s">
        <v>37</v>
      </c>
    </row>
    <row r="15" spans="1:12">
      <c r="A15" s="49">
        <v>16</v>
      </c>
      <c r="B15" s="49" t="s">
        <v>74</v>
      </c>
      <c r="C15" s="49"/>
      <c r="D15" s="49"/>
      <c r="E15" s="49" t="s">
        <v>75</v>
      </c>
      <c r="F15" s="49"/>
      <c r="G15" s="52" t="s">
        <v>76</v>
      </c>
      <c r="H15" s="53" t="s">
        <v>35</v>
      </c>
      <c r="I15" s="54">
        <v>5000</v>
      </c>
      <c r="J15" s="68"/>
      <c r="K15" s="56" t="s">
        <v>43</v>
      </c>
      <c r="L15" s="49" t="s">
        <v>37</v>
      </c>
    </row>
    <row r="16" spans="1:12">
      <c r="A16" s="49">
        <v>19</v>
      </c>
      <c r="B16" s="49" t="s">
        <v>31</v>
      </c>
      <c r="C16" s="49"/>
      <c r="D16" s="49" t="s">
        <v>32</v>
      </c>
      <c r="E16" s="49" t="s">
        <v>33</v>
      </c>
      <c r="F16" s="49"/>
      <c r="G16" s="52" t="s">
        <v>34</v>
      </c>
      <c r="H16" s="53" t="s">
        <v>35</v>
      </c>
      <c r="I16" s="64">
        <v>4000</v>
      </c>
      <c r="J16" s="68">
        <v>800</v>
      </c>
      <c r="K16" s="56" t="s">
        <v>36</v>
      </c>
      <c r="L16" s="49" t="s">
        <v>37</v>
      </c>
    </row>
    <row r="17" spans="1:12">
      <c r="A17" s="49">
        <v>19</v>
      </c>
      <c r="B17" s="49" t="s">
        <v>31</v>
      </c>
      <c r="C17" s="49"/>
      <c r="D17" s="49" t="s">
        <v>32</v>
      </c>
      <c r="E17" s="49" t="s">
        <v>33</v>
      </c>
      <c r="F17" s="49"/>
      <c r="G17" s="52" t="s">
        <v>34</v>
      </c>
      <c r="H17" s="53" t="s">
        <v>35</v>
      </c>
      <c r="I17" s="54">
        <v>10000</v>
      </c>
      <c r="J17" s="68"/>
      <c r="K17" s="56" t="s">
        <v>43</v>
      </c>
      <c r="L17" s="49"/>
    </row>
    <row r="18" spans="1:12">
      <c r="A18" s="49">
        <v>19</v>
      </c>
      <c r="B18" s="49" t="s">
        <v>197</v>
      </c>
      <c r="C18" s="49"/>
      <c r="D18" s="49" t="s">
        <v>198</v>
      </c>
      <c r="E18" s="49" t="s">
        <v>199</v>
      </c>
      <c r="F18" s="49"/>
      <c r="G18" s="52" t="s">
        <v>200</v>
      </c>
      <c r="H18" s="53" t="s">
        <v>35</v>
      </c>
      <c r="I18" s="54">
        <v>5000</v>
      </c>
      <c r="J18" s="68"/>
      <c r="K18" s="56" t="s">
        <v>43</v>
      </c>
      <c r="L18" s="49" t="s">
        <v>37</v>
      </c>
    </row>
    <row r="19" spans="1:12">
      <c r="A19" s="49">
        <v>27</v>
      </c>
      <c r="B19" s="49" t="s">
        <v>201</v>
      </c>
      <c r="C19" s="49"/>
      <c r="D19" s="49" t="s">
        <v>32</v>
      </c>
      <c r="E19" s="49" t="s">
        <v>202</v>
      </c>
      <c r="F19" s="49"/>
      <c r="G19" s="52" t="s">
        <v>203</v>
      </c>
      <c r="H19" s="53" t="s">
        <v>35</v>
      </c>
      <c r="I19" s="54">
        <v>10000</v>
      </c>
      <c r="J19" s="68"/>
      <c r="K19" s="56" t="s">
        <v>43</v>
      </c>
      <c r="L19" s="49" t="s">
        <v>37</v>
      </c>
    </row>
    <row r="20" spans="1:12">
      <c r="A20" s="49">
        <v>27</v>
      </c>
      <c r="B20" s="49" t="s">
        <v>204</v>
      </c>
      <c r="C20" s="49"/>
      <c r="D20" s="49" t="s">
        <v>205</v>
      </c>
      <c r="E20" s="49" t="s">
        <v>206</v>
      </c>
      <c r="F20" s="49"/>
      <c r="G20" s="52"/>
      <c r="H20" s="53" t="s">
        <v>100</v>
      </c>
      <c r="I20" s="54">
        <v>2000</v>
      </c>
      <c r="J20" s="55"/>
      <c r="K20" s="56" t="s">
        <v>43</v>
      </c>
      <c r="L20" s="49" t="s">
        <v>37</v>
      </c>
    </row>
    <row r="21" spans="1:12">
      <c r="A21" s="49">
        <v>27</v>
      </c>
      <c r="B21" s="49" t="s">
        <v>204</v>
      </c>
      <c r="C21" s="49"/>
      <c r="D21" s="49" t="s">
        <v>205</v>
      </c>
      <c r="E21" s="49" t="s">
        <v>206</v>
      </c>
      <c r="F21" s="49"/>
      <c r="G21" s="52"/>
      <c r="H21" s="53" t="s">
        <v>35</v>
      </c>
      <c r="I21" s="54">
        <v>4000</v>
      </c>
      <c r="J21" s="55"/>
      <c r="K21" s="56" t="s">
        <v>43</v>
      </c>
      <c r="L21" s="49" t="s">
        <v>37</v>
      </c>
    </row>
    <row r="22" spans="1:12">
      <c r="A22" s="49">
        <v>27</v>
      </c>
      <c r="B22" s="56" t="s">
        <v>207</v>
      </c>
      <c r="C22" s="49"/>
      <c r="D22" s="56"/>
      <c r="E22" s="56" t="s">
        <v>75</v>
      </c>
      <c r="F22" s="49"/>
      <c r="G22" s="56" t="s">
        <v>76</v>
      </c>
      <c r="H22" s="53" t="s">
        <v>35</v>
      </c>
      <c r="I22" s="54">
        <v>15000</v>
      </c>
      <c r="J22" s="49"/>
      <c r="K22" s="56" t="s">
        <v>43</v>
      </c>
      <c r="L22" s="30" t="s">
        <v>37</v>
      </c>
    </row>
    <row r="23" spans="1:12">
      <c r="A23" s="49"/>
      <c r="B23" s="56"/>
      <c r="C23" s="56"/>
      <c r="D23" s="56"/>
      <c r="E23" s="56"/>
      <c r="F23" s="49"/>
      <c r="G23" s="56"/>
      <c r="H23" s="53"/>
      <c r="I23" s="50"/>
      <c r="J23" s="53"/>
      <c r="K23" s="56"/>
      <c r="L23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9378-1753-4C09-883E-9EF1E2180CE9}">
  <dimension ref="A1:L24"/>
  <sheetViews>
    <sheetView workbookViewId="0">
      <selection activeCell="J21" sqref="J21"/>
    </sheetView>
  </sheetViews>
  <sheetFormatPr defaultRowHeight="15"/>
  <cols>
    <col min="12" max="12" width="21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208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2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3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4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6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1</v>
      </c>
      <c r="B12" s="49" t="s">
        <v>47</v>
      </c>
      <c r="C12" s="49"/>
      <c r="D12" s="49" t="s">
        <v>32</v>
      </c>
      <c r="E12" s="49" t="s">
        <v>48</v>
      </c>
      <c r="F12" s="49"/>
      <c r="G12" s="52" t="s">
        <v>49</v>
      </c>
      <c r="H12" s="53" t="s">
        <v>35</v>
      </c>
      <c r="I12" s="54">
        <v>2000</v>
      </c>
      <c r="J12" s="55"/>
      <c r="K12" s="56" t="s">
        <v>43</v>
      </c>
      <c r="L12" s="49" t="s">
        <v>37</v>
      </c>
    </row>
    <row r="13" spans="1:12">
      <c r="A13" s="49">
        <v>2</v>
      </c>
      <c r="B13" s="49" t="s">
        <v>113</v>
      </c>
      <c r="C13" s="49"/>
      <c r="D13" s="49" t="s">
        <v>209</v>
      </c>
      <c r="E13" s="49" t="s">
        <v>115</v>
      </c>
      <c r="F13" s="9"/>
      <c r="G13" s="9" t="s">
        <v>116</v>
      </c>
      <c r="H13" s="9" t="s">
        <v>35</v>
      </c>
      <c r="I13" s="66">
        <v>20000</v>
      </c>
      <c r="J13" s="67"/>
      <c r="K13" s="9" t="s">
        <v>43</v>
      </c>
      <c r="L13" s="30" t="s">
        <v>37</v>
      </c>
    </row>
    <row r="14" spans="1:12">
      <c r="A14" s="49">
        <v>3</v>
      </c>
      <c r="B14" s="49" t="s">
        <v>210</v>
      </c>
      <c r="C14" s="49"/>
      <c r="D14" s="49" t="s">
        <v>211</v>
      </c>
      <c r="E14" s="49" t="s">
        <v>106</v>
      </c>
      <c r="F14" s="49"/>
      <c r="G14" s="52" t="s">
        <v>212</v>
      </c>
      <c r="H14" s="53" t="s">
        <v>35</v>
      </c>
      <c r="I14" s="54">
        <v>1500</v>
      </c>
      <c r="J14" s="68"/>
      <c r="K14" s="56" t="s">
        <v>43</v>
      </c>
      <c r="L14" s="49" t="s">
        <v>37</v>
      </c>
    </row>
    <row r="15" spans="1:12">
      <c r="A15" s="49">
        <v>3</v>
      </c>
      <c r="B15" s="49" t="s">
        <v>210</v>
      </c>
      <c r="C15" s="49"/>
      <c r="D15" s="49" t="s">
        <v>211</v>
      </c>
      <c r="E15" s="49" t="s">
        <v>106</v>
      </c>
      <c r="F15" s="49"/>
      <c r="G15" s="52" t="s">
        <v>212</v>
      </c>
      <c r="H15" s="53" t="s">
        <v>100</v>
      </c>
      <c r="I15" s="54">
        <v>2000</v>
      </c>
      <c r="J15" s="68"/>
      <c r="K15" s="56" t="s">
        <v>43</v>
      </c>
      <c r="L15" s="49" t="s">
        <v>37</v>
      </c>
    </row>
    <row r="16" spans="1:12">
      <c r="A16" s="49">
        <v>8</v>
      </c>
      <c r="B16" s="49" t="s">
        <v>31</v>
      </c>
      <c r="C16" s="49"/>
      <c r="D16" s="49" t="s">
        <v>32</v>
      </c>
      <c r="E16" s="49" t="s">
        <v>33</v>
      </c>
      <c r="F16" s="49"/>
      <c r="G16" s="52" t="s">
        <v>213</v>
      </c>
      <c r="H16" s="53" t="s">
        <v>35</v>
      </c>
      <c r="I16" s="54">
        <v>9200</v>
      </c>
      <c r="J16" s="68">
        <v>1840</v>
      </c>
      <c r="K16" s="56" t="s">
        <v>36</v>
      </c>
      <c r="L16" s="49" t="s">
        <v>37</v>
      </c>
    </row>
    <row r="17" spans="1:12">
      <c r="A17" s="49"/>
      <c r="B17" s="49"/>
      <c r="C17" s="49"/>
      <c r="D17" s="49"/>
      <c r="E17" s="49"/>
      <c r="F17" s="49"/>
      <c r="G17" s="52"/>
      <c r="H17" s="53"/>
      <c r="I17" s="64"/>
      <c r="J17" s="68"/>
      <c r="K17" s="56"/>
      <c r="L17" s="49"/>
    </row>
    <row r="18" spans="1:12">
      <c r="A18" s="49"/>
      <c r="B18" s="49"/>
      <c r="C18" s="49"/>
      <c r="D18" s="49"/>
      <c r="E18" s="49"/>
      <c r="F18" s="49"/>
      <c r="G18" s="52"/>
      <c r="H18" s="53"/>
      <c r="I18" s="54"/>
      <c r="J18" s="68"/>
      <c r="K18" s="56"/>
      <c r="L18" s="49"/>
    </row>
    <row r="19" spans="1:12">
      <c r="A19" s="49"/>
      <c r="B19" s="49"/>
      <c r="C19" s="49"/>
      <c r="D19" s="49"/>
      <c r="E19" s="49"/>
      <c r="F19" s="49"/>
      <c r="G19" s="52"/>
      <c r="H19" s="53"/>
      <c r="I19" s="54"/>
      <c r="J19" s="68"/>
      <c r="K19" s="56"/>
      <c r="L19" s="49"/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68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4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32A0-F9F0-46C9-B597-14936B9BD7F6}">
  <dimension ref="A1:L22"/>
  <sheetViews>
    <sheetView workbookViewId="0">
      <selection activeCell="M26" sqref="M26"/>
    </sheetView>
  </sheetViews>
  <sheetFormatPr defaultRowHeight="15"/>
  <cols>
    <col min="2" max="2" width="28.7109375" customWidth="1"/>
    <col min="4" max="4" width="15.28515625" customWidth="1"/>
    <col min="5" max="5" width="15.7109375" customWidth="1"/>
    <col min="12" max="12" width="17.4257812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2809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2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3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4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6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6</v>
      </c>
      <c r="B12" s="49" t="s">
        <v>2810</v>
      </c>
      <c r="C12" s="49"/>
      <c r="D12" s="49"/>
      <c r="E12" s="49" t="s">
        <v>2157</v>
      </c>
      <c r="F12" s="49"/>
      <c r="G12" s="52" t="s">
        <v>2811</v>
      </c>
      <c r="H12" s="53" t="s">
        <v>35</v>
      </c>
      <c r="I12" s="54">
        <v>65</v>
      </c>
      <c r="J12" s="57"/>
      <c r="K12" s="56" t="s">
        <v>43</v>
      </c>
      <c r="L12" s="49" t="s">
        <v>37</v>
      </c>
    </row>
    <row r="13" spans="1:12" ht="16.5" customHeight="1">
      <c r="A13" s="161">
        <v>7</v>
      </c>
      <c r="B13" s="162" t="s">
        <v>2812</v>
      </c>
      <c r="C13" s="49"/>
      <c r="D13" s="161" t="s">
        <v>944</v>
      </c>
      <c r="E13" s="161" t="s">
        <v>199</v>
      </c>
      <c r="F13" s="163"/>
      <c r="G13" s="163" t="s">
        <v>2813</v>
      </c>
      <c r="H13" s="163" t="s">
        <v>35</v>
      </c>
      <c r="I13" s="164">
        <v>5000</v>
      </c>
      <c r="J13" s="165"/>
      <c r="K13" s="163" t="s">
        <v>43</v>
      </c>
      <c r="L13" s="166" t="s">
        <v>37</v>
      </c>
    </row>
    <row r="14" spans="1:12">
      <c r="A14" s="49">
        <v>8</v>
      </c>
      <c r="B14" s="49" t="s">
        <v>2814</v>
      </c>
      <c r="C14" s="49"/>
      <c r="D14" s="49"/>
      <c r="E14" s="49" t="s">
        <v>2815</v>
      </c>
      <c r="F14" s="49"/>
      <c r="G14" s="52" t="s">
        <v>2816</v>
      </c>
      <c r="H14" s="53" t="s">
        <v>170</v>
      </c>
      <c r="I14" s="54">
        <v>20000</v>
      </c>
      <c r="J14" s="68"/>
      <c r="K14" s="56" t="s">
        <v>43</v>
      </c>
      <c r="L14" s="166" t="s">
        <v>37</v>
      </c>
    </row>
    <row r="15" spans="1:12">
      <c r="A15" s="49">
        <v>11</v>
      </c>
      <c r="B15" s="49" t="s">
        <v>2817</v>
      </c>
      <c r="C15" s="49"/>
      <c r="D15" s="49"/>
      <c r="E15" s="49" t="s">
        <v>158</v>
      </c>
      <c r="F15" s="49"/>
      <c r="G15" s="52" t="s">
        <v>2818</v>
      </c>
      <c r="H15" s="53" t="s">
        <v>35</v>
      </c>
      <c r="I15" s="54">
        <v>55000</v>
      </c>
      <c r="J15" s="68"/>
      <c r="K15" s="56" t="s">
        <v>43</v>
      </c>
      <c r="L15" s="166" t="s">
        <v>37</v>
      </c>
    </row>
    <row r="16" spans="1:12">
      <c r="A16" s="49">
        <v>12</v>
      </c>
      <c r="B16" s="49" t="s">
        <v>2819</v>
      </c>
      <c r="C16" s="49"/>
      <c r="D16" s="49" t="s">
        <v>2820</v>
      </c>
      <c r="E16" s="49" t="s">
        <v>33</v>
      </c>
      <c r="F16" s="49"/>
      <c r="G16" s="52" t="s">
        <v>2821</v>
      </c>
      <c r="H16" s="53" t="s">
        <v>35</v>
      </c>
      <c r="I16" s="54">
        <v>10500</v>
      </c>
      <c r="J16" s="68">
        <v>2100</v>
      </c>
      <c r="K16" s="56" t="s">
        <v>36</v>
      </c>
      <c r="L16" s="49" t="s">
        <v>37</v>
      </c>
    </row>
    <row r="17" spans="1:12">
      <c r="A17" s="49">
        <v>13</v>
      </c>
      <c r="B17" s="49" t="s">
        <v>2822</v>
      </c>
      <c r="C17" s="49"/>
      <c r="D17" s="49"/>
      <c r="E17" s="49" t="s">
        <v>193</v>
      </c>
      <c r="F17" s="49"/>
      <c r="G17" s="52" t="s">
        <v>2823</v>
      </c>
      <c r="H17" s="53" t="s">
        <v>35</v>
      </c>
      <c r="I17" s="54">
        <v>7500</v>
      </c>
      <c r="J17" s="68"/>
      <c r="K17" s="56" t="s">
        <v>43</v>
      </c>
      <c r="L17" s="166" t="s">
        <v>37</v>
      </c>
    </row>
    <row r="18" spans="1:12">
      <c r="A18" s="49">
        <v>13</v>
      </c>
      <c r="B18" s="49" t="s">
        <v>2824</v>
      </c>
      <c r="C18" s="49"/>
      <c r="D18" s="49" t="s">
        <v>93</v>
      </c>
      <c r="E18" s="49" t="s">
        <v>94</v>
      </c>
      <c r="F18" s="49"/>
      <c r="G18" s="52" t="s">
        <v>95</v>
      </c>
      <c r="H18" s="53" t="s">
        <v>35</v>
      </c>
      <c r="I18" s="54">
        <v>10000</v>
      </c>
      <c r="J18" s="68"/>
      <c r="K18" s="56" t="s">
        <v>43</v>
      </c>
      <c r="L18" s="166" t="s">
        <v>37</v>
      </c>
    </row>
    <row r="19" spans="1:12">
      <c r="A19" s="49">
        <v>20</v>
      </c>
      <c r="B19" s="49" t="s">
        <v>2825</v>
      </c>
      <c r="C19" s="49"/>
      <c r="D19" s="49"/>
      <c r="E19" s="49" t="s">
        <v>2826</v>
      </c>
      <c r="F19" s="49"/>
      <c r="G19" s="52" t="s">
        <v>2827</v>
      </c>
      <c r="H19" s="53" t="s">
        <v>35</v>
      </c>
      <c r="I19" s="54">
        <v>30000</v>
      </c>
      <c r="J19" s="68"/>
      <c r="K19" s="56" t="s">
        <v>43</v>
      </c>
      <c r="L19" s="166" t="s">
        <v>37</v>
      </c>
    </row>
    <row r="20" spans="1:12">
      <c r="A20" s="167">
        <v>27</v>
      </c>
      <c r="B20" s="167" t="s">
        <v>2828</v>
      </c>
      <c r="C20" s="167"/>
      <c r="D20" s="167" t="s">
        <v>147</v>
      </c>
      <c r="E20" s="167" t="s">
        <v>148</v>
      </c>
      <c r="F20" s="167"/>
      <c r="G20" s="168" t="s">
        <v>149</v>
      </c>
      <c r="H20" s="169" t="s">
        <v>35</v>
      </c>
      <c r="I20" s="170">
        <v>79100</v>
      </c>
      <c r="J20" s="171"/>
      <c r="K20" s="172" t="s">
        <v>43</v>
      </c>
      <c r="L20" s="166" t="s">
        <v>37</v>
      </c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68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68"/>
      <c r="K22" s="56"/>
      <c r="L22" s="49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EAD4-B815-4CA5-B9AC-62AE0B26FCD6}">
  <dimension ref="A1:L18"/>
  <sheetViews>
    <sheetView workbookViewId="0">
      <selection activeCell="C25" sqref="C25"/>
    </sheetView>
  </sheetViews>
  <sheetFormatPr defaultRowHeight="15"/>
  <cols>
    <col min="2" max="2" width="28" customWidth="1"/>
    <col min="5" max="5" width="17.140625" customWidth="1"/>
    <col min="7" max="7" width="17" customWidth="1"/>
    <col min="12" max="12" width="14.7109375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2829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2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3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4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6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2</v>
      </c>
      <c r="B12" s="49" t="s">
        <v>2830</v>
      </c>
      <c r="C12" s="49"/>
      <c r="D12" s="49"/>
      <c r="E12" s="49" t="s">
        <v>184</v>
      </c>
      <c r="F12" s="49"/>
      <c r="G12" s="52" t="s">
        <v>2831</v>
      </c>
      <c r="H12" s="53" t="s">
        <v>182</v>
      </c>
      <c r="I12" s="54">
        <v>510</v>
      </c>
      <c r="J12" s="57"/>
      <c r="K12" s="56" t="s">
        <v>43</v>
      </c>
      <c r="L12" s="49" t="s">
        <v>37</v>
      </c>
    </row>
    <row r="13" spans="1:12" ht="14.25" customHeight="1">
      <c r="A13" s="161">
        <v>4</v>
      </c>
      <c r="B13" s="162" t="s">
        <v>2819</v>
      </c>
      <c r="C13" s="49"/>
      <c r="D13" s="161"/>
      <c r="E13" s="161" t="s">
        <v>33</v>
      </c>
      <c r="F13" s="163"/>
      <c r="G13" s="163" t="s">
        <v>2832</v>
      </c>
      <c r="H13" s="163" t="s">
        <v>35</v>
      </c>
      <c r="I13" s="164">
        <v>6000</v>
      </c>
      <c r="J13" s="165">
        <v>1200</v>
      </c>
      <c r="K13" s="56" t="s">
        <v>43</v>
      </c>
      <c r="L13" s="49" t="s">
        <v>37</v>
      </c>
    </row>
    <row r="14" spans="1:12">
      <c r="A14" s="49">
        <v>10</v>
      </c>
      <c r="B14" s="49" t="s">
        <v>31</v>
      </c>
      <c r="C14" s="49"/>
      <c r="D14" s="49" t="s">
        <v>32</v>
      </c>
      <c r="E14" s="49" t="s">
        <v>33</v>
      </c>
      <c r="F14" s="49"/>
      <c r="G14" s="52" t="s">
        <v>34</v>
      </c>
      <c r="H14" s="53" t="s">
        <v>35</v>
      </c>
      <c r="I14" s="54">
        <v>11300</v>
      </c>
      <c r="J14" s="55">
        <v>1695</v>
      </c>
      <c r="K14" s="56" t="s">
        <v>36</v>
      </c>
      <c r="L14" s="49" t="s">
        <v>37</v>
      </c>
    </row>
    <row r="15" spans="1:12">
      <c r="A15" s="49">
        <v>14</v>
      </c>
      <c r="B15" s="56" t="s">
        <v>39</v>
      </c>
      <c r="C15" s="56"/>
      <c r="D15" s="56" t="s">
        <v>40</v>
      </c>
      <c r="E15" s="56" t="s">
        <v>41</v>
      </c>
      <c r="F15" s="49"/>
      <c r="G15" s="56" t="s">
        <v>42</v>
      </c>
      <c r="H15" s="53" t="s">
        <v>35</v>
      </c>
      <c r="I15" s="50">
        <v>2000</v>
      </c>
      <c r="J15" s="53"/>
      <c r="K15" s="56" t="s">
        <v>43</v>
      </c>
      <c r="L15" s="56" t="s">
        <v>37</v>
      </c>
    </row>
    <row r="16" spans="1:12">
      <c r="A16" s="49">
        <v>14</v>
      </c>
      <c r="B16" s="56" t="s">
        <v>44</v>
      </c>
      <c r="C16" s="49"/>
      <c r="D16" s="56" t="s">
        <v>32</v>
      </c>
      <c r="E16" s="56" t="s">
        <v>45</v>
      </c>
      <c r="F16" s="49"/>
      <c r="G16" s="56" t="s">
        <v>46</v>
      </c>
      <c r="H16" s="56" t="s">
        <v>35</v>
      </c>
      <c r="I16" s="50">
        <v>23075</v>
      </c>
      <c r="J16" s="49"/>
      <c r="K16" s="56" t="s">
        <v>43</v>
      </c>
      <c r="L16" s="56" t="s">
        <v>37</v>
      </c>
    </row>
    <row r="17" spans="1:12">
      <c r="A17" s="49">
        <v>25</v>
      </c>
      <c r="B17" s="58" t="s">
        <v>47</v>
      </c>
      <c r="C17" s="56"/>
      <c r="D17" s="56" t="s">
        <v>32</v>
      </c>
      <c r="E17" s="56" t="s">
        <v>48</v>
      </c>
      <c r="F17" s="49"/>
      <c r="G17" s="56" t="s">
        <v>49</v>
      </c>
      <c r="H17" s="53" t="s">
        <v>35</v>
      </c>
      <c r="I17" s="50">
        <v>3500</v>
      </c>
      <c r="J17" s="56"/>
      <c r="K17" s="56" t="s">
        <v>43</v>
      </c>
      <c r="L17" s="56" t="s">
        <v>37</v>
      </c>
    </row>
    <row r="18" spans="1:12">
      <c r="A18" s="49">
        <v>26</v>
      </c>
      <c r="B18" s="56" t="s">
        <v>50</v>
      </c>
      <c r="C18" s="56"/>
      <c r="D18" s="49" t="s">
        <v>32</v>
      </c>
      <c r="E18" s="56" t="s">
        <v>51</v>
      </c>
      <c r="F18" s="49"/>
      <c r="G18" s="56" t="s">
        <v>52</v>
      </c>
      <c r="H18" s="53" t="s">
        <v>35</v>
      </c>
      <c r="I18" s="53">
        <v>2000</v>
      </c>
      <c r="J18" s="56"/>
      <c r="K18" s="56" t="s">
        <v>43</v>
      </c>
      <c r="L18" s="56" t="s">
        <v>37</v>
      </c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4" customWidth="1"/>
    <col min="12" max="12" width="13.42578125" customWidth="1"/>
    <col min="13" max="26" width="8.7109375" customWidth="1"/>
  </cols>
  <sheetData>
    <row r="1" spans="1:16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6" ht="18">
      <c r="A2" s="2"/>
      <c r="B2" s="3"/>
      <c r="C2" s="242" t="s">
        <v>214</v>
      </c>
      <c r="D2" s="241"/>
      <c r="E2" s="241"/>
      <c r="F2" s="241"/>
      <c r="G2" s="241"/>
      <c r="H2" s="70"/>
      <c r="I2" s="71"/>
      <c r="J2" s="72"/>
      <c r="K2" s="6"/>
    </row>
    <row r="3" spans="1:16">
      <c r="A3" s="2"/>
      <c r="B3" s="3"/>
      <c r="C3" s="73"/>
      <c r="D3" s="3"/>
      <c r="E3" s="3"/>
      <c r="G3" s="73"/>
      <c r="H3" s="70"/>
      <c r="I3" s="71"/>
      <c r="J3" s="8" t="s">
        <v>215</v>
      </c>
      <c r="K3" s="74"/>
    </row>
    <row r="4" spans="1:16">
      <c r="A4" s="2"/>
      <c r="B4" s="3"/>
      <c r="C4" s="73"/>
      <c r="D4" s="3"/>
      <c r="E4" s="3"/>
      <c r="G4" s="73"/>
      <c r="H4" s="70"/>
      <c r="I4" s="75"/>
      <c r="J4" s="69" t="s">
        <v>216</v>
      </c>
      <c r="K4" s="76"/>
    </row>
    <row r="5" spans="1:16">
      <c r="A5" s="2"/>
      <c r="B5" s="3"/>
      <c r="C5" s="73"/>
      <c r="D5" s="3"/>
      <c r="E5" s="3"/>
      <c r="G5" s="73"/>
      <c r="H5" s="70"/>
      <c r="I5" s="75"/>
      <c r="J5" s="69" t="s">
        <v>217</v>
      </c>
      <c r="K5" s="76"/>
    </row>
    <row r="6" spans="1:16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219</v>
      </c>
      <c r="K6" s="78"/>
    </row>
    <row r="7" spans="1:16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6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6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6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6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6">
      <c r="A12" s="49">
        <v>3</v>
      </c>
      <c r="B12" s="49" t="s">
        <v>226</v>
      </c>
      <c r="C12" s="49" t="s">
        <v>227</v>
      </c>
      <c r="D12" s="49" t="s">
        <v>228</v>
      </c>
      <c r="E12" s="49" t="s">
        <v>229</v>
      </c>
      <c r="F12" s="49"/>
      <c r="G12" s="49" t="s">
        <v>35</v>
      </c>
      <c r="H12" s="50">
        <v>3000</v>
      </c>
      <c r="I12" s="55">
        <v>450</v>
      </c>
      <c r="J12" s="49" t="s">
        <v>36</v>
      </c>
      <c r="K12" s="49" t="s">
        <v>37</v>
      </c>
    </row>
    <row r="13" spans="1:16">
      <c r="A13" s="49">
        <v>3</v>
      </c>
      <c r="B13" s="49" t="s">
        <v>230</v>
      </c>
      <c r="C13" s="49" t="s">
        <v>227</v>
      </c>
      <c r="D13" s="49" t="s">
        <v>231</v>
      </c>
      <c r="E13" s="49" t="s">
        <v>232</v>
      </c>
      <c r="F13" s="49"/>
      <c r="G13" s="49" t="s">
        <v>35</v>
      </c>
      <c r="H13" s="50">
        <v>6000</v>
      </c>
      <c r="I13" s="55">
        <v>900</v>
      </c>
      <c r="J13" s="49" t="s">
        <v>36</v>
      </c>
      <c r="K13" s="49" t="s">
        <v>37</v>
      </c>
      <c r="P13" s="4"/>
    </row>
    <row r="14" spans="1:16">
      <c r="A14" s="49">
        <v>3</v>
      </c>
      <c r="B14" s="49" t="s">
        <v>233</v>
      </c>
      <c r="C14" s="49" t="s">
        <v>227</v>
      </c>
      <c r="D14" s="49" t="s">
        <v>234</v>
      </c>
      <c r="E14" s="49" t="s">
        <v>235</v>
      </c>
      <c r="F14" s="49"/>
      <c r="G14" s="49" t="s">
        <v>35</v>
      </c>
      <c r="H14" s="50">
        <v>1500</v>
      </c>
      <c r="I14" s="55">
        <v>225</v>
      </c>
      <c r="J14" s="49" t="s">
        <v>36</v>
      </c>
      <c r="K14" s="49" t="s">
        <v>37</v>
      </c>
    </row>
    <row r="15" spans="1:16">
      <c r="A15" s="49">
        <v>3</v>
      </c>
      <c r="B15" s="49" t="s">
        <v>236</v>
      </c>
      <c r="C15" s="49" t="s">
        <v>227</v>
      </c>
      <c r="D15" s="49" t="s">
        <v>237</v>
      </c>
      <c r="E15" s="49" t="s">
        <v>184</v>
      </c>
      <c r="F15" s="49"/>
      <c r="G15" s="49" t="s">
        <v>35</v>
      </c>
      <c r="H15" s="50">
        <v>5000</v>
      </c>
      <c r="I15" s="55">
        <v>750</v>
      </c>
      <c r="J15" s="49" t="s">
        <v>36</v>
      </c>
      <c r="K15" s="49" t="s">
        <v>37</v>
      </c>
      <c r="P15" s="4"/>
    </row>
    <row r="16" spans="1:16">
      <c r="A16" s="49">
        <v>3</v>
      </c>
      <c r="B16" s="49" t="s">
        <v>238</v>
      </c>
      <c r="C16" s="49" t="s">
        <v>227</v>
      </c>
      <c r="D16" s="49" t="s">
        <v>239</v>
      </c>
      <c r="E16" s="49" t="s">
        <v>232</v>
      </c>
      <c r="F16" s="49"/>
      <c r="G16" s="49" t="s">
        <v>35</v>
      </c>
      <c r="H16" s="50">
        <v>1000</v>
      </c>
      <c r="I16" s="55">
        <v>150</v>
      </c>
      <c r="J16" s="49" t="s">
        <v>36</v>
      </c>
      <c r="K16" s="49" t="s">
        <v>37</v>
      </c>
    </row>
    <row r="17" spans="1:18">
      <c r="A17" s="49">
        <v>3</v>
      </c>
      <c r="B17" s="49" t="s">
        <v>240</v>
      </c>
      <c r="C17" s="49" t="s">
        <v>227</v>
      </c>
      <c r="D17" s="49" t="s">
        <v>32</v>
      </c>
      <c r="E17" s="49" t="s">
        <v>241</v>
      </c>
      <c r="F17" s="49"/>
      <c r="G17" s="49" t="s">
        <v>120</v>
      </c>
      <c r="H17" s="50">
        <v>30</v>
      </c>
      <c r="I17" s="55">
        <v>300</v>
      </c>
      <c r="J17" s="49" t="s">
        <v>36</v>
      </c>
      <c r="K17" s="49" t="s">
        <v>37</v>
      </c>
    </row>
    <row r="18" spans="1:18">
      <c r="A18" s="49">
        <v>3</v>
      </c>
      <c r="B18" s="49" t="s">
        <v>240</v>
      </c>
      <c r="C18" s="49" t="s">
        <v>227</v>
      </c>
      <c r="D18" s="49" t="s">
        <v>32</v>
      </c>
      <c r="E18" s="49" t="s">
        <v>241</v>
      </c>
      <c r="F18" s="49"/>
      <c r="G18" s="49" t="s">
        <v>242</v>
      </c>
      <c r="H18" s="50">
        <v>20</v>
      </c>
      <c r="I18" s="55">
        <v>60</v>
      </c>
      <c r="J18" s="49" t="s">
        <v>36</v>
      </c>
      <c r="K18" s="49" t="s">
        <v>37</v>
      </c>
    </row>
    <row r="19" spans="1:18">
      <c r="A19" s="49">
        <v>3</v>
      </c>
      <c r="B19" s="49" t="s">
        <v>243</v>
      </c>
      <c r="C19" s="49" t="s">
        <v>227</v>
      </c>
      <c r="D19" s="49" t="s">
        <v>244</v>
      </c>
      <c r="E19" s="49" t="s">
        <v>235</v>
      </c>
      <c r="F19" s="49"/>
      <c r="G19" s="49" t="s">
        <v>35</v>
      </c>
      <c r="H19" s="50">
        <v>200</v>
      </c>
      <c r="I19" s="55">
        <v>30</v>
      </c>
      <c r="J19" s="49" t="s">
        <v>36</v>
      </c>
      <c r="K19" s="49" t="s">
        <v>37</v>
      </c>
    </row>
    <row r="20" spans="1:18">
      <c r="A20" s="49">
        <v>3</v>
      </c>
      <c r="B20" s="49" t="s">
        <v>243</v>
      </c>
      <c r="C20" s="49" t="s">
        <v>227</v>
      </c>
      <c r="D20" s="49" t="s">
        <v>244</v>
      </c>
      <c r="E20" s="49" t="s">
        <v>235</v>
      </c>
      <c r="F20" s="49"/>
      <c r="G20" s="49" t="s">
        <v>120</v>
      </c>
      <c r="H20" s="50">
        <v>7</v>
      </c>
      <c r="I20" s="55">
        <v>70</v>
      </c>
      <c r="J20" s="49" t="s">
        <v>36</v>
      </c>
      <c r="K20" s="49" t="s">
        <v>37</v>
      </c>
    </row>
    <row r="21" spans="1:18" ht="15.75" customHeight="1">
      <c r="A21" s="49">
        <v>3</v>
      </c>
      <c r="B21" s="49" t="s">
        <v>245</v>
      </c>
      <c r="C21" s="49" t="s">
        <v>246</v>
      </c>
      <c r="D21" s="49" t="s">
        <v>247</v>
      </c>
      <c r="E21" s="49" t="s">
        <v>248</v>
      </c>
      <c r="F21" s="49"/>
      <c r="G21" s="49" t="s">
        <v>120</v>
      </c>
      <c r="H21" s="50">
        <v>50</v>
      </c>
      <c r="I21" s="55">
        <v>500</v>
      </c>
      <c r="J21" s="49" t="s">
        <v>36</v>
      </c>
      <c r="K21" s="49" t="s">
        <v>37</v>
      </c>
    </row>
    <row r="22" spans="1:18" ht="15.75" customHeight="1">
      <c r="A22" s="49">
        <v>3</v>
      </c>
      <c r="B22" s="49" t="s">
        <v>249</v>
      </c>
      <c r="C22" s="49" t="s">
        <v>227</v>
      </c>
      <c r="D22" s="49" t="s">
        <v>250</v>
      </c>
      <c r="E22" s="49" t="s">
        <v>251</v>
      </c>
      <c r="F22" s="49"/>
      <c r="G22" s="49" t="s">
        <v>120</v>
      </c>
      <c r="H22" s="50">
        <v>20</v>
      </c>
      <c r="I22" s="55">
        <v>200</v>
      </c>
      <c r="J22" s="49" t="s">
        <v>36</v>
      </c>
      <c r="K22" s="49" t="s">
        <v>37</v>
      </c>
    </row>
    <row r="23" spans="1:18" ht="15.75" customHeight="1">
      <c r="A23" s="49">
        <v>3</v>
      </c>
      <c r="B23" s="49" t="s">
        <v>252</v>
      </c>
      <c r="C23" s="49" t="s">
        <v>227</v>
      </c>
      <c r="D23" s="49" t="s">
        <v>253</v>
      </c>
      <c r="E23" s="49" t="s">
        <v>254</v>
      </c>
      <c r="F23" s="49"/>
      <c r="G23" s="49" t="s">
        <v>120</v>
      </c>
      <c r="H23" s="50">
        <v>4</v>
      </c>
      <c r="I23" s="55">
        <v>40</v>
      </c>
      <c r="J23" s="49" t="s">
        <v>36</v>
      </c>
      <c r="K23" s="49" t="s">
        <v>37</v>
      </c>
    </row>
    <row r="24" spans="1:18" ht="15.75" customHeight="1">
      <c r="A24" s="49">
        <v>3</v>
      </c>
      <c r="B24" s="49" t="s">
        <v>255</v>
      </c>
      <c r="C24" s="49" t="s">
        <v>227</v>
      </c>
      <c r="D24" s="49" t="s">
        <v>256</v>
      </c>
      <c r="E24" s="49" t="s">
        <v>248</v>
      </c>
      <c r="F24" s="49"/>
      <c r="G24" s="49" t="s">
        <v>35</v>
      </c>
      <c r="H24" s="50">
        <v>3000</v>
      </c>
      <c r="I24" s="55">
        <v>450</v>
      </c>
      <c r="J24" s="49" t="s">
        <v>36</v>
      </c>
      <c r="K24" s="49" t="s">
        <v>37</v>
      </c>
    </row>
    <row r="25" spans="1:18" ht="15.75" customHeight="1">
      <c r="A25" s="49">
        <v>3</v>
      </c>
      <c r="B25" s="49" t="s">
        <v>257</v>
      </c>
      <c r="C25" s="49" t="s">
        <v>227</v>
      </c>
      <c r="D25" s="49" t="s">
        <v>258</v>
      </c>
      <c r="E25" s="49" t="s">
        <v>251</v>
      </c>
      <c r="F25" s="49"/>
      <c r="G25" s="49" t="s">
        <v>35</v>
      </c>
      <c r="H25" s="50">
        <v>300</v>
      </c>
      <c r="I25" s="55">
        <v>45</v>
      </c>
      <c r="J25" s="49" t="s">
        <v>36</v>
      </c>
      <c r="K25" s="49" t="s">
        <v>37</v>
      </c>
    </row>
    <row r="26" spans="1:18" ht="15.75" customHeight="1">
      <c r="A26" s="49">
        <v>3</v>
      </c>
      <c r="B26" s="49" t="s">
        <v>259</v>
      </c>
      <c r="C26" s="49" t="s">
        <v>227</v>
      </c>
      <c r="D26" s="49" t="s">
        <v>260</v>
      </c>
      <c r="E26" s="49" t="s">
        <v>51</v>
      </c>
      <c r="F26" s="49"/>
      <c r="G26" s="49" t="s">
        <v>35</v>
      </c>
      <c r="H26" s="50">
        <v>700</v>
      </c>
      <c r="I26" s="55">
        <v>105</v>
      </c>
      <c r="J26" s="49" t="s">
        <v>36</v>
      </c>
      <c r="K26" s="49" t="s">
        <v>37</v>
      </c>
    </row>
    <row r="27" spans="1:18" ht="15.75" customHeight="1">
      <c r="A27" s="49">
        <v>3</v>
      </c>
      <c r="B27" s="49" t="s">
        <v>261</v>
      </c>
      <c r="C27" s="49" t="s">
        <v>227</v>
      </c>
      <c r="D27" s="49" t="s">
        <v>262</v>
      </c>
      <c r="E27" s="49" t="s">
        <v>232</v>
      </c>
      <c r="F27" s="49"/>
      <c r="G27" s="49" t="s">
        <v>35</v>
      </c>
      <c r="H27" s="50">
        <v>1500</v>
      </c>
      <c r="I27" s="55">
        <v>225</v>
      </c>
      <c r="J27" s="49" t="s">
        <v>36</v>
      </c>
      <c r="K27" s="49" t="s">
        <v>37</v>
      </c>
    </row>
    <row r="28" spans="1:18" ht="15.75" customHeight="1">
      <c r="A28" s="49">
        <v>3</v>
      </c>
      <c r="B28" s="49" t="s">
        <v>263</v>
      </c>
      <c r="C28" s="49" t="s">
        <v>246</v>
      </c>
      <c r="D28" s="49" t="s">
        <v>264</v>
      </c>
      <c r="E28" s="49" t="s">
        <v>184</v>
      </c>
      <c r="F28" s="49"/>
      <c r="G28" s="49" t="s">
        <v>35</v>
      </c>
      <c r="H28" s="50">
        <v>2000</v>
      </c>
      <c r="I28" s="55">
        <v>300</v>
      </c>
      <c r="J28" s="49" t="s">
        <v>36</v>
      </c>
      <c r="K28" s="49" t="s">
        <v>37</v>
      </c>
    </row>
    <row r="29" spans="1:18" ht="15.75" customHeight="1">
      <c r="A29" s="49">
        <v>3</v>
      </c>
      <c r="B29" s="49" t="s">
        <v>265</v>
      </c>
      <c r="C29" s="49" t="s">
        <v>227</v>
      </c>
      <c r="D29" s="49" t="s">
        <v>266</v>
      </c>
      <c r="E29" s="49" t="s">
        <v>251</v>
      </c>
      <c r="F29" s="49"/>
      <c r="G29" s="49" t="s">
        <v>35</v>
      </c>
      <c r="H29" s="50">
        <v>15000</v>
      </c>
      <c r="I29" s="55">
        <v>2250</v>
      </c>
      <c r="J29" s="49" t="s">
        <v>36</v>
      </c>
      <c r="K29" s="49" t="s">
        <v>37</v>
      </c>
      <c r="R29" s="4"/>
    </row>
    <row r="30" spans="1:18" ht="15.75" customHeight="1">
      <c r="A30" s="49">
        <v>3</v>
      </c>
      <c r="B30" s="49" t="s">
        <v>267</v>
      </c>
      <c r="C30" s="49" t="s">
        <v>227</v>
      </c>
      <c r="D30" s="49" t="s">
        <v>268</v>
      </c>
      <c r="E30" s="49" t="s">
        <v>248</v>
      </c>
      <c r="F30" s="49"/>
      <c r="G30" s="49" t="s">
        <v>35</v>
      </c>
      <c r="H30" s="50">
        <v>3500</v>
      </c>
      <c r="I30" s="55">
        <v>525</v>
      </c>
      <c r="J30" s="49" t="s">
        <v>36</v>
      </c>
      <c r="K30" s="49" t="s">
        <v>37</v>
      </c>
    </row>
    <row r="31" spans="1:18" ht="15.75" customHeight="1">
      <c r="A31" s="49">
        <v>3</v>
      </c>
      <c r="B31" s="49" t="s">
        <v>269</v>
      </c>
      <c r="C31" s="49" t="s">
        <v>227</v>
      </c>
      <c r="D31" s="49" t="s">
        <v>270</v>
      </c>
      <c r="E31" s="49" t="s">
        <v>241</v>
      </c>
      <c r="F31" s="49"/>
      <c r="G31" s="49" t="s">
        <v>35</v>
      </c>
      <c r="H31" s="50">
        <v>1000</v>
      </c>
      <c r="I31" s="55">
        <v>150</v>
      </c>
      <c r="J31" s="49" t="s">
        <v>36</v>
      </c>
      <c r="K31" s="49" t="s">
        <v>37</v>
      </c>
    </row>
    <row r="32" spans="1:18" ht="15.75" customHeight="1">
      <c r="A32" s="49">
        <v>3</v>
      </c>
      <c r="B32" s="49" t="s">
        <v>269</v>
      </c>
      <c r="C32" s="49" t="s">
        <v>227</v>
      </c>
      <c r="D32" s="49" t="s">
        <v>270</v>
      </c>
      <c r="E32" s="49" t="s">
        <v>241</v>
      </c>
      <c r="F32" s="49"/>
      <c r="G32" s="49" t="s">
        <v>120</v>
      </c>
      <c r="H32" s="50">
        <v>20</v>
      </c>
      <c r="I32" s="55">
        <v>200</v>
      </c>
      <c r="J32" s="49" t="s">
        <v>36</v>
      </c>
      <c r="K32" s="49" t="s">
        <v>37</v>
      </c>
    </row>
    <row r="33" spans="1:18" ht="15.75" customHeight="1">
      <c r="A33" s="49">
        <v>3</v>
      </c>
      <c r="B33" s="49" t="s">
        <v>271</v>
      </c>
      <c r="C33" s="49" t="s">
        <v>227</v>
      </c>
      <c r="D33" s="49" t="s">
        <v>272</v>
      </c>
      <c r="E33" s="49" t="s">
        <v>193</v>
      </c>
      <c r="F33" s="49"/>
      <c r="G33" s="49" t="s">
        <v>35</v>
      </c>
      <c r="H33" s="50">
        <v>2000</v>
      </c>
      <c r="I33" s="55">
        <v>300</v>
      </c>
      <c r="J33" s="49" t="s">
        <v>36</v>
      </c>
      <c r="K33" s="49" t="s">
        <v>37</v>
      </c>
    </row>
    <row r="34" spans="1:18" ht="15.75" customHeight="1">
      <c r="A34" s="49">
        <v>3</v>
      </c>
      <c r="B34" s="49" t="s">
        <v>271</v>
      </c>
      <c r="C34" s="49" t="s">
        <v>227</v>
      </c>
      <c r="D34" s="49" t="s">
        <v>272</v>
      </c>
      <c r="E34" s="49" t="s">
        <v>193</v>
      </c>
      <c r="F34" s="49"/>
      <c r="G34" s="49" t="s">
        <v>120</v>
      </c>
      <c r="H34" s="50">
        <v>70</v>
      </c>
      <c r="I34" s="55">
        <v>700</v>
      </c>
      <c r="J34" s="49" t="s">
        <v>36</v>
      </c>
      <c r="K34" s="49" t="s">
        <v>37</v>
      </c>
    </row>
    <row r="35" spans="1:18" ht="15.75" customHeight="1">
      <c r="A35" s="49">
        <v>3</v>
      </c>
      <c r="B35" s="49" t="s">
        <v>271</v>
      </c>
      <c r="C35" s="49" t="s">
        <v>227</v>
      </c>
      <c r="D35" s="49" t="s">
        <v>272</v>
      </c>
      <c r="E35" s="49" t="s">
        <v>193</v>
      </c>
      <c r="F35" s="49"/>
      <c r="G35" s="49" t="s">
        <v>273</v>
      </c>
      <c r="H35" s="50">
        <v>20</v>
      </c>
      <c r="I35" s="55">
        <v>60</v>
      </c>
      <c r="J35" s="49" t="s">
        <v>36</v>
      </c>
      <c r="K35" s="49" t="s">
        <v>37</v>
      </c>
    </row>
    <row r="36" spans="1:18" ht="15.75" customHeight="1">
      <c r="A36" s="49">
        <v>3</v>
      </c>
      <c r="B36" s="49" t="s">
        <v>274</v>
      </c>
      <c r="C36" s="49" t="s">
        <v>246</v>
      </c>
      <c r="D36" s="49" t="s">
        <v>275</v>
      </c>
      <c r="E36" s="49" t="s">
        <v>235</v>
      </c>
      <c r="F36" s="49"/>
      <c r="G36" s="49" t="s">
        <v>35</v>
      </c>
      <c r="H36" s="50">
        <v>300</v>
      </c>
      <c r="I36" s="55">
        <v>45</v>
      </c>
      <c r="J36" s="49" t="s">
        <v>36</v>
      </c>
      <c r="K36" s="49" t="s">
        <v>37</v>
      </c>
    </row>
    <row r="37" spans="1:18" ht="15.75" customHeight="1">
      <c r="A37" s="49">
        <v>3</v>
      </c>
      <c r="B37" s="49" t="s">
        <v>276</v>
      </c>
      <c r="C37" s="49" t="s">
        <v>227</v>
      </c>
      <c r="D37" s="49" t="s">
        <v>277</v>
      </c>
      <c r="E37" s="49" t="s">
        <v>232</v>
      </c>
      <c r="F37" s="49"/>
      <c r="G37" s="49" t="s">
        <v>35</v>
      </c>
      <c r="H37" s="50">
        <v>6000</v>
      </c>
      <c r="I37" s="55">
        <v>90</v>
      </c>
      <c r="J37" s="49" t="s">
        <v>36</v>
      </c>
      <c r="K37" s="49" t="s">
        <v>37</v>
      </c>
      <c r="P37" s="4"/>
    </row>
    <row r="38" spans="1:18" ht="15.75" customHeight="1">
      <c r="A38" s="49">
        <v>3</v>
      </c>
      <c r="B38" s="49" t="s">
        <v>278</v>
      </c>
      <c r="C38" s="49" t="s">
        <v>227</v>
      </c>
      <c r="D38" s="49" t="s">
        <v>32</v>
      </c>
      <c r="E38" s="49" t="s">
        <v>241</v>
      </c>
      <c r="F38" s="49"/>
      <c r="G38" s="49" t="s">
        <v>35</v>
      </c>
      <c r="H38" s="50">
        <v>300</v>
      </c>
      <c r="I38" s="55">
        <v>45</v>
      </c>
      <c r="J38" s="49" t="s">
        <v>36</v>
      </c>
      <c r="K38" s="49" t="s">
        <v>37</v>
      </c>
      <c r="P38" s="4"/>
    </row>
    <row r="39" spans="1:18" ht="15.75" customHeight="1">
      <c r="A39" s="49">
        <v>3</v>
      </c>
      <c r="B39" s="49" t="s">
        <v>279</v>
      </c>
      <c r="C39" s="49" t="s">
        <v>227</v>
      </c>
      <c r="D39" s="49" t="s">
        <v>280</v>
      </c>
      <c r="E39" s="49" t="s">
        <v>281</v>
      </c>
      <c r="F39" s="49"/>
      <c r="G39" s="49" t="s">
        <v>35</v>
      </c>
      <c r="H39" s="50">
        <v>1500</v>
      </c>
      <c r="I39" s="55">
        <v>225</v>
      </c>
      <c r="J39" s="49" t="s">
        <v>36</v>
      </c>
      <c r="K39" s="49" t="s">
        <v>37</v>
      </c>
      <c r="P39" s="4"/>
    </row>
    <row r="40" spans="1:18" ht="15.75" customHeight="1">
      <c r="A40" s="49">
        <v>3</v>
      </c>
      <c r="B40" s="49" t="s">
        <v>282</v>
      </c>
      <c r="C40" s="49" t="s">
        <v>227</v>
      </c>
      <c r="D40" s="49" t="s">
        <v>277</v>
      </c>
      <c r="E40" s="49" t="s">
        <v>232</v>
      </c>
      <c r="F40" s="49"/>
      <c r="G40" s="49" t="s">
        <v>35</v>
      </c>
      <c r="H40" s="50">
        <v>2500</v>
      </c>
      <c r="I40" s="55">
        <v>375</v>
      </c>
      <c r="J40" s="49" t="s">
        <v>36</v>
      </c>
      <c r="K40" s="49" t="s">
        <v>37</v>
      </c>
      <c r="P40" s="4"/>
    </row>
    <row r="41" spans="1:18" ht="15.75" customHeight="1">
      <c r="A41" s="49">
        <v>3</v>
      </c>
      <c r="B41" s="49" t="s">
        <v>283</v>
      </c>
      <c r="C41" s="49" t="s">
        <v>227</v>
      </c>
      <c r="D41" s="49" t="s">
        <v>284</v>
      </c>
      <c r="E41" s="49" t="s">
        <v>285</v>
      </c>
      <c r="F41" s="49"/>
      <c r="G41" s="49" t="s">
        <v>35</v>
      </c>
      <c r="H41" s="50">
        <v>2500</v>
      </c>
      <c r="I41" s="55">
        <v>375</v>
      </c>
      <c r="J41" s="49" t="s">
        <v>36</v>
      </c>
      <c r="K41" s="49" t="s">
        <v>37</v>
      </c>
      <c r="P41" s="4"/>
    </row>
    <row r="42" spans="1:18" ht="15.75" customHeight="1">
      <c r="A42" s="49">
        <v>3</v>
      </c>
      <c r="B42" s="49" t="s">
        <v>286</v>
      </c>
      <c r="C42" s="49" t="s">
        <v>227</v>
      </c>
      <c r="D42" s="49" t="s">
        <v>198</v>
      </c>
      <c r="E42" s="49" t="s">
        <v>199</v>
      </c>
      <c r="F42" s="49"/>
      <c r="G42" s="49" t="s">
        <v>35</v>
      </c>
      <c r="H42" s="50">
        <v>10000</v>
      </c>
      <c r="I42" s="55">
        <v>1500</v>
      </c>
      <c r="J42" s="49" t="s">
        <v>36</v>
      </c>
      <c r="K42" s="49" t="s">
        <v>37</v>
      </c>
      <c r="P42" s="4"/>
      <c r="R42" s="4"/>
    </row>
    <row r="43" spans="1:18" ht="15.75" customHeight="1">
      <c r="A43" s="49">
        <v>3</v>
      </c>
      <c r="B43" s="49" t="s">
        <v>287</v>
      </c>
      <c r="C43" s="49" t="s">
        <v>227</v>
      </c>
      <c r="D43" s="49" t="s">
        <v>288</v>
      </c>
      <c r="E43" s="49" t="s">
        <v>184</v>
      </c>
      <c r="F43" s="49"/>
      <c r="G43" s="49" t="s">
        <v>35</v>
      </c>
      <c r="H43" s="50">
        <v>3000</v>
      </c>
      <c r="I43" s="55">
        <v>450</v>
      </c>
      <c r="J43" s="49" t="s">
        <v>36</v>
      </c>
      <c r="K43" s="49" t="s">
        <v>37</v>
      </c>
      <c r="P43" s="4"/>
    </row>
    <row r="44" spans="1:18" ht="15.75" customHeight="1">
      <c r="A44" s="49">
        <v>3</v>
      </c>
      <c r="B44" s="49" t="s">
        <v>289</v>
      </c>
      <c r="C44" s="49" t="s">
        <v>227</v>
      </c>
      <c r="D44" s="49" t="s">
        <v>290</v>
      </c>
      <c r="E44" s="49" t="s">
        <v>232</v>
      </c>
      <c r="F44" s="49"/>
      <c r="G44" s="49" t="s">
        <v>35</v>
      </c>
      <c r="H44" s="50">
        <v>300</v>
      </c>
      <c r="I44" s="55">
        <v>45</v>
      </c>
      <c r="J44" s="49" t="s">
        <v>36</v>
      </c>
      <c r="K44" s="49" t="s">
        <v>37</v>
      </c>
      <c r="P44" s="4"/>
    </row>
    <row r="45" spans="1:18" ht="15.75" customHeight="1">
      <c r="A45" s="49">
        <v>3</v>
      </c>
      <c r="B45" s="49" t="s">
        <v>291</v>
      </c>
      <c r="C45" s="49" t="s">
        <v>246</v>
      </c>
      <c r="D45" s="49" t="s">
        <v>292</v>
      </c>
      <c r="E45" s="49" t="s">
        <v>235</v>
      </c>
      <c r="F45" s="49"/>
      <c r="G45" s="49" t="s">
        <v>35</v>
      </c>
      <c r="H45" s="50">
        <v>400</v>
      </c>
      <c r="I45" s="55">
        <v>60</v>
      </c>
      <c r="J45" s="49" t="s">
        <v>36</v>
      </c>
      <c r="K45" s="49" t="s">
        <v>37</v>
      </c>
      <c r="P45" s="4"/>
    </row>
    <row r="46" spans="1:18" ht="15.75" customHeight="1">
      <c r="A46" s="49">
        <v>3</v>
      </c>
      <c r="B46" s="49" t="s">
        <v>293</v>
      </c>
      <c r="C46" s="49" t="s">
        <v>227</v>
      </c>
      <c r="D46" s="49" t="s">
        <v>234</v>
      </c>
      <c r="E46" s="49" t="s">
        <v>235</v>
      </c>
      <c r="F46" s="49"/>
      <c r="G46" s="49" t="s">
        <v>35</v>
      </c>
      <c r="H46" s="50">
        <v>1000</v>
      </c>
      <c r="I46" s="55">
        <v>150</v>
      </c>
      <c r="J46" s="49" t="s">
        <v>36</v>
      </c>
      <c r="K46" s="49" t="s">
        <v>37</v>
      </c>
      <c r="P46" s="4"/>
    </row>
    <row r="47" spans="1:18" ht="15.75" customHeight="1">
      <c r="A47" s="49">
        <v>3</v>
      </c>
      <c r="B47" s="49" t="s">
        <v>294</v>
      </c>
      <c r="C47" s="49" t="s">
        <v>227</v>
      </c>
      <c r="D47" s="49" t="s">
        <v>295</v>
      </c>
      <c r="E47" s="49" t="s">
        <v>248</v>
      </c>
      <c r="F47" s="49"/>
      <c r="G47" s="49" t="s">
        <v>35</v>
      </c>
      <c r="H47" s="50">
        <v>1000</v>
      </c>
      <c r="I47" s="55">
        <v>150</v>
      </c>
      <c r="J47" s="49" t="s">
        <v>36</v>
      </c>
      <c r="K47" s="49" t="s">
        <v>37</v>
      </c>
      <c r="P47" s="4"/>
    </row>
    <row r="48" spans="1:18" ht="15.75" customHeight="1">
      <c r="A48" s="49">
        <v>3</v>
      </c>
      <c r="B48" s="49" t="s">
        <v>296</v>
      </c>
      <c r="C48" s="49" t="s">
        <v>227</v>
      </c>
      <c r="D48" s="49" t="s">
        <v>297</v>
      </c>
      <c r="E48" s="49" t="s">
        <v>298</v>
      </c>
      <c r="F48" s="49"/>
      <c r="G48" s="49" t="s">
        <v>35</v>
      </c>
      <c r="H48" s="50">
        <v>500</v>
      </c>
      <c r="I48" s="55">
        <v>75</v>
      </c>
      <c r="J48" s="49" t="s">
        <v>36</v>
      </c>
      <c r="K48" s="49" t="s">
        <v>37</v>
      </c>
      <c r="P48" s="4"/>
    </row>
    <row r="49" spans="1:16" ht="15.75" customHeight="1">
      <c r="A49" s="49">
        <v>3</v>
      </c>
      <c r="B49" s="49" t="s">
        <v>299</v>
      </c>
      <c r="C49" s="49" t="s">
        <v>227</v>
      </c>
      <c r="D49" s="49" t="s">
        <v>295</v>
      </c>
      <c r="E49" s="49" t="s">
        <v>248</v>
      </c>
      <c r="F49" s="49"/>
      <c r="G49" s="49" t="s">
        <v>35</v>
      </c>
      <c r="H49" s="50">
        <v>2000</v>
      </c>
      <c r="I49" s="55">
        <v>300</v>
      </c>
      <c r="J49" s="49" t="s">
        <v>36</v>
      </c>
      <c r="K49" s="49" t="s">
        <v>37</v>
      </c>
      <c r="P49" s="4"/>
    </row>
    <row r="50" spans="1:16" ht="15.75" customHeight="1">
      <c r="A50" s="49">
        <v>3</v>
      </c>
      <c r="B50" s="49" t="s">
        <v>300</v>
      </c>
      <c r="C50" s="49" t="s">
        <v>246</v>
      </c>
      <c r="D50" s="49" t="s">
        <v>301</v>
      </c>
      <c r="E50" s="49" t="s">
        <v>302</v>
      </c>
      <c r="F50" s="49"/>
      <c r="G50" s="49" t="s">
        <v>35</v>
      </c>
      <c r="H50" s="50">
        <v>700</v>
      </c>
      <c r="I50" s="55">
        <v>105</v>
      </c>
      <c r="J50" s="49" t="s">
        <v>36</v>
      </c>
      <c r="K50" s="49" t="s">
        <v>37</v>
      </c>
      <c r="P50" s="4"/>
    </row>
    <row r="51" spans="1:16" ht="15.75" customHeight="1">
      <c r="A51" s="49">
        <v>3</v>
      </c>
      <c r="B51" s="49" t="s">
        <v>303</v>
      </c>
      <c r="C51" s="49" t="s">
        <v>227</v>
      </c>
      <c r="D51" s="49" t="s">
        <v>304</v>
      </c>
      <c r="E51" s="49" t="s">
        <v>241</v>
      </c>
      <c r="F51" s="49"/>
      <c r="G51" s="49" t="s">
        <v>35</v>
      </c>
      <c r="H51" s="50">
        <v>2100</v>
      </c>
      <c r="I51" s="55">
        <v>315</v>
      </c>
      <c r="J51" s="49" t="s">
        <v>36</v>
      </c>
      <c r="K51" s="49" t="s">
        <v>37</v>
      </c>
      <c r="P51" s="4"/>
    </row>
    <row r="52" spans="1:16" ht="15.75" customHeight="1">
      <c r="A52" s="49">
        <v>3</v>
      </c>
      <c r="B52" s="49" t="s">
        <v>305</v>
      </c>
      <c r="C52" s="49" t="s">
        <v>227</v>
      </c>
      <c r="D52" s="49" t="s">
        <v>306</v>
      </c>
      <c r="E52" s="49" t="s">
        <v>307</v>
      </c>
      <c r="F52" s="49"/>
      <c r="G52" s="49" t="s">
        <v>35</v>
      </c>
      <c r="H52" s="50">
        <v>260</v>
      </c>
      <c r="I52" s="55">
        <v>39</v>
      </c>
      <c r="J52" s="49" t="s">
        <v>36</v>
      </c>
      <c r="K52" s="49" t="s">
        <v>37</v>
      </c>
      <c r="P52" s="4"/>
    </row>
    <row r="53" spans="1:16" ht="15.75" customHeight="1">
      <c r="A53" s="49">
        <v>3</v>
      </c>
      <c r="B53" s="49" t="s">
        <v>305</v>
      </c>
      <c r="C53" s="49" t="s">
        <v>227</v>
      </c>
      <c r="D53" s="49" t="s">
        <v>306</v>
      </c>
      <c r="E53" s="49" t="s">
        <v>307</v>
      </c>
      <c r="F53" s="49"/>
      <c r="G53" s="49" t="s">
        <v>120</v>
      </c>
      <c r="H53" s="50">
        <v>10</v>
      </c>
      <c r="I53" s="55">
        <v>100</v>
      </c>
      <c r="J53" s="49" t="s">
        <v>36</v>
      </c>
      <c r="K53" s="49" t="s">
        <v>37</v>
      </c>
      <c r="P53" s="4"/>
    </row>
    <row r="54" spans="1:16" ht="15.75" customHeight="1">
      <c r="A54" s="49">
        <v>3</v>
      </c>
      <c r="B54" s="49" t="s">
        <v>308</v>
      </c>
      <c r="C54" s="49" t="s">
        <v>246</v>
      </c>
      <c r="D54" s="49" t="s">
        <v>309</v>
      </c>
      <c r="E54" s="49" t="s">
        <v>248</v>
      </c>
      <c r="F54" s="49"/>
      <c r="G54" s="49" t="s">
        <v>35</v>
      </c>
      <c r="H54" s="50">
        <v>21000</v>
      </c>
      <c r="I54" s="55">
        <v>3150</v>
      </c>
      <c r="J54" s="49" t="s">
        <v>36</v>
      </c>
      <c r="K54" s="49" t="s">
        <v>37</v>
      </c>
      <c r="P54" s="4"/>
    </row>
    <row r="55" spans="1:16" ht="15.75" customHeight="1">
      <c r="A55" s="49">
        <v>3</v>
      </c>
      <c r="B55" s="49" t="s">
        <v>310</v>
      </c>
      <c r="C55" s="49" t="s">
        <v>227</v>
      </c>
      <c r="D55" s="49" t="s">
        <v>311</v>
      </c>
      <c r="E55" s="49" t="s">
        <v>241</v>
      </c>
      <c r="F55" s="49"/>
      <c r="G55" s="49" t="s">
        <v>35</v>
      </c>
      <c r="H55" s="50">
        <v>6000</v>
      </c>
      <c r="I55" s="55">
        <v>900</v>
      </c>
      <c r="J55" s="49" t="s">
        <v>36</v>
      </c>
      <c r="K55" s="49" t="s">
        <v>37</v>
      </c>
      <c r="P55" s="4"/>
    </row>
    <row r="56" spans="1:16" ht="15.75" customHeight="1">
      <c r="A56" s="49">
        <v>3</v>
      </c>
      <c r="B56" s="49" t="s">
        <v>312</v>
      </c>
      <c r="C56" s="49" t="s">
        <v>246</v>
      </c>
      <c r="D56" s="49" t="s">
        <v>313</v>
      </c>
      <c r="E56" s="49" t="s">
        <v>152</v>
      </c>
      <c r="F56" s="49"/>
      <c r="G56" s="49" t="s">
        <v>35</v>
      </c>
      <c r="H56" s="50">
        <v>400</v>
      </c>
      <c r="I56" s="55">
        <v>60</v>
      </c>
      <c r="J56" s="49" t="s">
        <v>36</v>
      </c>
      <c r="K56" s="49" t="s">
        <v>37</v>
      </c>
      <c r="P56" s="4"/>
    </row>
    <row r="57" spans="1:16" ht="15.75" customHeight="1">
      <c r="A57" s="49">
        <v>3</v>
      </c>
      <c r="B57" s="49" t="s">
        <v>314</v>
      </c>
      <c r="C57" s="49" t="s">
        <v>227</v>
      </c>
      <c r="D57" s="49" t="s">
        <v>315</v>
      </c>
      <c r="E57" s="49" t="s">
        <v>48</v>
      </c>
      <c r="F57" s="49"/>
      <c r="G57" s="49" t="s">
        <v>35</v>
      </c>
      <c r="H57" s="50">
        <v>260</v>
      </c>
      <c r="I57" s="55">
        <v>39</v>
      </c>
      <c r="J57" s="49" t="s">
        <v>36</v>
      </c>
      <c r="K57" s="49" t="s">
        <v>37</v>
      </c>
      <c r="P57" s="4"/>
    </row>
    <row r="58" spans="1:16" ht="15.75" customHeight="1">
      <c r="A58" s="49">
        <v>3</v>
      </c>
      <c r="B58" s="49" t="s">
        <v>316</v>
      </c>
      <c r="C58" s="49" t="s">
        <v>227</v>
      </c>
      <c r="D58" s="49" t="s">
        <v>317</v>
      </c>
      <c r="E58" s="49" t="s">
        <v>241</v>
      </c>
      <c r="F58" s="49"/>
      <c r="G58" s="49" t="s">
        <v>35</v>
      </c>
      <c r="H58" s="50">
        <v>2000</v>
      </c>
      <c r="I58" s="55">
        <v>300</v>
      </c>
      <c r="J58" s="49" t="s">
        <v>36</v>
      </c>
      <c r="K58" s="49" t="s">
        <v>37</v>
      </c>
      <c r="P58" s="4"/>
    </row>
    <row r="59" spans="1:16" ht="15.75" customHeight="1">
      <c r="A59" s="49">
        <v>3</v>
      </c>
      <c r="B59" s="49" t="s">
        <v>318</v>
      </c>
      <c r="C59" s="49" t="s">
        <v>227</v>
      </c>
      <c r="D59" s="49" t="s">
        <v>40</v>
      </c>
      <c r="E59" s="49" t="s">
        <v>232</v>
      </c>
      <c r="F59" s="49"/>
      <c r="G59" s="49" t="s">
        <v>35</v>
      </c>
      <c r="H59" s="50">
        <v>100</v>
      </c>
      <c r="I59" s="55">
        <v>15</v>
      </c>
      <c r="J59" s="49" t="s">
        <v>36</v>
      </c>
      <c r="K59" s="49" t="s">
        <v>37</v>
      </c>
      <c r="P59" s="4"/>
    </row>
    <row r="60" spans="1:16" ht="15.75" customHeight="1">
      <c r="A60" s="49">
        <v>3</v>
      </c>
      <c r="B60" s="49" t="s">
        <v>318</v>
      </c>
      <c r="C60" s="49" t="s">
        <v>227</v>
      </c>
      <c r="D60" s="49" t="s">
        <v>40</v>
      </c>
      <c r="E60" s="49" t="s">
        <v>232</v>
      </c>
      <c r="F60" s="49"/>
      <c r="G60" s="49" t="s">
        <v>120</v>
      </c>
      <c r="H60" s="50">
        <v>30</v>
      </c>
      <c r="I60" s="55">
        <v>300</v>
      </c>
      <c r="J60" s="49" t="s">
        <v>36</v>
      </c>
      <c r="K60" s="49" t="s">
        <v>37</v>
      </c>
    </row>
    <row r="61" spans="1:16" ht="15.75" customHeight="1">
      <c r="A61" s="49">
        <v>3</v>
      </c>
      <c r="B61" s="49" t="s">
        <v>319</v>
      </c>
      <c r="C61" s="49" t="s">
        <v>227</v>
      </c>
      <c r="D61" s="49" t="s">
        <v>320</v>
      </c>
      <c r="E61" s="49" t="s">
        <v>321</v>
      </c>
      <c r="F61" s="49"/>
      <c r="G61" s="49" t="s">
        <v>35</v>
      </c>
      <c r="H61" s="50">
        <v>1000</v>
      </c>
      <c r="I61" s="55">
        <v>150</v>
      </c>
      <c r="J61" s="49" t="s">
        <v>36</v>
      </c>
      <c r="K61" s="49" t="s">
        <v>37</v>
      </c>
      <c r="P61" s="4"/>
    </row>
    <row r="62" spans="1:16" ht="15.75" customHeight="1">
      <c r="A62" s="49">
        <v>3</v>
      </c>
      <c r="B62" s="49" t="s">
        <v>322</v>
      </c>
      <c r="C62" s="49" t="s">
        <v>227</v>
      </c>
      <c r="D62" s="49" t="s">
        <v>323</v>
      </c>
      <c r="E62" s="49" t="s">
        <v>80</v>
      </c>
      <c r="F62" s="49"/>
      <c r="G62" s="49" t="s">
        <v>35</v>
      </c>
      <c r="H62" s="50">
        <v>10000</v>
      </c>
      <c r="I62" s="55">
        <v>1500</v>
      </c>
      <c r="J62" s="49" t="s">
        <v>36</v>
      </c>
      <c r="K62" s="49" t="s">
        <v>37</v>
      </c>
      <c r="P62" s="4"/>
    </row>
    <row r="63" spans="1:16" ht="15.75" customHeight="1">
      <c r="A63" s="49">
        <v>3</v>
      </c>
      <c r="B63" s="49" t="s">
        <v>324</v>
      </c>
      <c r="C63" s="49" t="s">
        <v>227</v>
      </c>
      <c r="D63" s="49" t="s">
        <v>33</v>
      </c>
      <c r="E63" s="49" t="s">
        <v>307</v>
      </c>
      <c r="F63" s="49"/>
      <c r="G63" s="49" t="s">
        <v>35</v>
      </c>
      <c r="H63" s="50">
        <v>20000</v>
      </c>
      <c r="I63" s="55">
        <v>3000</v>
      </c>
      <c r="J63" s="49" t="s">
        <v>36</v>
      </c>
      <c r="K63" s="49" t="s">
        <v>37</v>
      </c>
      <c r="P63" s="4"/>
    </row>
    <row r="64" spans="1:16" ht="15.75" customHeight="1">
      <c r="A64" s="49">
        <v>3</v>
      </c>
      <c r="B64" s="49" t="s">
        <v>325</v>
      </c>
      <c r="C64" s="49" t="s">
        <v>227</v>
      </c>
      <c r="D64" s="49" t="s">
        <v>326</v>
      </c>
      <c r="E64" s="49" t="s">
        <v>199</v>
      </c>
      <c r="F64" s="49"/>
      <c r="G64" s="49" t="s">
        <v>35</v>
      </c>
      <c r="H64" s="50">
        <v>5000</v>
      </c>
      <c r="I64" s="55">
        <v>750</v>
      </c>
      <c r="J64" s="49" t="s">
        <v>36</v>
      </c>
      <c r="K64" s="49" t="s">
        <v>37</v>
      </c>
      <c r="P64" s="4"/>
    </row>
    <row r="65" spans="1:18" ht="15.75" customHeight="1">
      <c r="A65" s="49">
        <v>3</v>
      </c>
      <c r="B65" s="49" t="s">
        <v>327</v>
      </c>
      <c r="C65" s="49" t="s">
        <v>227</v>
      </c>
      <c r="D65" s="49" t="s">
        <v>33</v>
      </c>
      <c r="E65" s="49" t="s">
        <v>199</v>
      </c>
      <c r="F65" s="49"/>
      <c r="G65" s="49" t="s">
        <v>35</v>
      </c>
      <c r="H65" s="50">
        <v>12500</v>
      </c>
      <c r="I65" s="55">
        <v>1875</v>
      </c>
      <c r="J65" s="49" t="s">
        <v>36</v>
      </c>
      <c r="K65" s="49" t="s">
        <v>37</v>
      </c>
      <c r="P65" s="4"/>
      <c r="R65" s="4"/>
    </row>
    <row r="66" spans="1:18" ht="15.75" customHeight="1">
      <c r="A66" s="49">
        <v>3</v>
      </c>
      <c r="B66" s="49" t="s">
        <v>328</v>
      </c>
      <c r="C66" s="49" t="s">
        <v>227</v>
      </c>
      <c r="D66" s="49" t="s">
        <v>247</v>
      </c>
      <c r="E66" s="49" t="s">
        <v>248</v>
      </c>
      <c r="F66" s="49"/>
      <c r="G66" s="49" t="s">
        <v>35</v>
      </c>
      <c r="H66" s="50">
        <v>500</v>
      </c>
      <c r="I66" s="55">
        <v>75</v>
      </c>
      <c r="J66" s="49" t="s">
        <v>36</v>
      </c>
      <c r="K66" s="49" t="s">
        <v>37</v>
      </c>
      <c r="P66" s="4"/>
    </row>
    <row r="67" spans="1:18" ht="15.75" customHeight="1">
      <c r="A67" s="49">
        <v>3</v>
      </c>
      <c r="B67" s="49" t="s">
        <v>328</v>
      </c>
      <c r="C67" s="49" t="s">
        <v>227</v>
      </c>
      <c r="D67" s="49" t="s">
        <v>247</v>
      </c>
      <c r="E67" s="49" t="s">
        <v>248</v>
      </c>
      <c r="F67" s="49"/>
      <c r="G67" s="49" t="s">
        <v>120</v>
      </c>
      <c r="H67" s="50">
        <v>10</v>
      </c>
      <c r="I67" s="55">
        <v>100</v>
      </c>
      <c r="J67" s="49" t="s">
        <v>36</v>
      </c>
      <c r="K67" s="49" t="s">
        <v>37</v>
      </c>
      <c r="P67" s="4"/>
    </row>
    <row r="68" spans="1:18" ht="15.75" customHeight="1">
      <c r="A68" s="49">
        <v>3</v>
      </c>
      <c r="B68" s="49" t="s">
        <v>329</v>
      </c>
      <c r="C68" s="49" t="s">
        <v>227</v>
      </c>
      <c r="D68" s="49" t="s">
        <v>330</v>
      </c>
      <c r="E68" s="49" t="s">
        <v>254</v>
      </c>
      <c r="F68" s="49"/>
      <c r="G68" s="49" t="s">
        <v>35</v>
      </c>
      <c r="H68" s="50">
        <v>100</v>
      </c>
      <c r="I68" s="55">
        <v>15</v>
      </c>
      <c r="J68" s="49" t="s">
        <v>36</v>
      </c>
      <c r="K68" s="49" t="s">
        <v>37</v>
      </c>
      <c r="P68" s="4"/>
    </row>
    <row r="69" spans="1:18" ht="15.75" customHeight="1">
      <c r="A69" s="49">
        <v>4</v>
      </c>
      <c r="B69" s="49" t="s">
        <v>331</v>
      </c>
      <c r="C69" s="49" t="s">
        <v>227</v>
      </c>
      <c r="D69" s="49" t="s">
        <v>332</v>
      </c>
      <c r="E69" s="49" t="s">
        <v>193</v>
      </c>
      <c r="F69" s="49"/>
      <c r="G69" s="49" t="s">
        <v>35</v>
      </c>
      <c r="H69" s="50">
        <v>23000</v>
      </c>
      <c r="I69" s="55">
        <v>3450</v>
      </c>
      <c r="J69" s="49" t="s">
        <v>36</v>
      </c>
      <c r="K69" s="49" t="s">
        <v>37</v>
      </c>
      <c r="P69" s="4"/>
      <c r="R69" s="4"/>
    </row>
    <row r="70" spans="1:18" ht="15.75" customHeight="1">
      <c r="A70" s="49">
        <v>4</v>
      </c>
      <c r="B70" s="49" t="s">
        <v>333</v>
      </c>
      <c r="C70" s="49" t="s">
        <v>227</v>
      </c>
      <c r="D70" s="49" t="s">
        <v>334</v>
      </c>
      <c r="E70" s="49" t="s">
        <v>335</v>
      </c>
      <c r="F70" s="49"/>
      <c r="G70" s="49" t="s">
        <v>35</v>
      </c>
      <c r="H70" s="50">
        <v>40000</v>
      </c>
      <c r="I70" s="55">
        <v>6000</v>
      </c>
      <c r="J70" s="49" t="s">
        <v>36</v>
      </c>
      <c r="K70" s="49" t="s">
        <v>37</v>
      </c>
      <c r="P70" s="4"/>
    </row>
    <row r="71" spans="1:18" ht="15.75" customHeight="1">
      <c r="A71" s="49">
        <v>4</v>
      </c>
      <c r="B71" s="49" t="s">
        <v>333</v>
      </c>
      <c r="C71" s="49" t="s">
        <v>227</v>
      </c>
      <c r="D71" s="49" t="s">
        <v>334</v>
      </c>
      <c r="E71" s="49" t="s">
        <v>335</v>
      </c>
      <c r="F71" s="49"/>
      <c r="G71" s="49" t="s">
        <v>120</v>
      </c>
      <c r="H71" s="50">
        <v>50</v>
      </c>
      <c r="I71" s="55">
        <v>500</v>
      </c>
      <c r="J71" s="49" t="s">
        <v>36</v>
      </c>
      <c r="K71" s="49" t="s">
        <v>37</v>
      </c>
      <c r="P71" s="4"/>
    </row>
    <row r="72" spans="1:18" ht="15.75" customHeight="1">
      <c r="A72" s="49">
        <v>4</v>
      </c>
      <c r="B72" s="49" t="s">
        <v>336</v>
      </c>
      <c r="C72" s="49" t="s">
        <v>227</v>
      </c>
      <c r="D72" s="49" t="s">
        <v>247</v>
      </c>
      <c r="E72" s="49" t="s">
        <v>248</v>
      </c>
      <c r="F72" s="49"/>
      <c r="G72" s="49" t="s">
        <v>35</v>
      </c>
      <c r="H72" s="50">
        <v>7000</v>
      </c>
      <c r="I72" s="55">
        <v>1050</v>
      </c>
      <c r="J72" s="49" t="s">
        <v>36</v>
      </c>
      <c r="K72" s="49" t="s">
        <v>37</v>
      </c>
      <c r="P72" s="4"/>
    </row>
    <row r="73" spans="1:18" ht="15.75" customHeight="1">
      <c r="A73" s="49">
        <v>4</v>
      </c>
      <c r="B73" s="49" t="s">
        <v>337</v>
      </c>
      <c r="C73" s="49" t="s">
        <v>227</v>
      </c>
      <c r="D73" s="49" t="s">
        <v>205</v>
      </c>
      <c r="E73" s="49" t="s">
        <v>199</v>
      </c>
      <c r="F73" s="49"/>
      <c r="G73" s="49" t="s">
        <v>35</v>
      </c>
      <c r="H73" s="50">
        <v>10000</v>
      </c>
      <c r="I73" s="55">
        <v>1500</v>
      </c>
      <c r="J73" s="49" t="s">
        <v>36</v>
      </c>
      <c r="K73" s="49" t="s">
        <v>37</v>
      </c>
      <c r="P73" s="4"/>
    </row>
    <row r="74" spans="1:18" ht="15.75" customHeight="1">
      <c r="A74" s="49">
        <v>4</v>
      </c>
      <c r="B74" s="49" t="s">
        <v>337</v>
      </c>
      <c r="C74" s="49" t="s">
        <v>227</v>
      </c>
      <c r="D74" s="49" t="s">
        <v>205</v>
      </c>
      <c r="E74" s="49" t="s">
        <v>199</v>
      </c>
      <c r="F74" s="49"/>
      <c r="G74" s="49" t="s">
        <v>120</v>
      </c>
      <c r="H74" s="50">
        <v>11</v>
      </c>
      <c r="I74" s="55">
        <v>110</v>
      </c>
      <c r="J74" s="49" t="s">
        <v>36</v>
      </c>
      <c r="K74" s="49" t="s">
        <v>37</v>
      </c>
      <c r="P74" s="4"/>
    </row>
    <row r="75" spans="1:18" ht="15.75" customHeight="1">
      <c r="A75" s="49">
        <v>4</v>
      </c>
      <c r="B75" s="49" t="s">
        <v>338</v>
      </c>
      <c r="C75" s="49" t="s">
        <v>227</v>
      </c>
      <c r="D75" s="49" t="s">
        <v>205</v>
      </c>
      <c r="E75" s="49" t="s">
        <v>199</v>
      </c>
      <c r="F75" s="49"/>
      <c r="G75" s="49" t="s">
        <v>35</v>
      </c>
      <c r="H75" s="50">
        <v>4000</v>
      </c>
      <c r="I75" s="55">
        <v>600</v>
      </c>
      <c r="J75" s="49" t="s">
        <v>36</v>
      </c>
      <c r="K75" s="49" t="s">
        <v>37</v>
      </c>
      <c r="P75" s="4"/>
    </row>
    <row r="76" spans="1:18" ht="15.75" customHeight="1">
      <c r="A76" s="49">
        <v>4</v>
      </c>
      <c r="B76" s="49" t="s">
        <v>338</v>
      </c>
      <c r="C76" s="49" t="s">
        <v>227</v>
      </c>
      <c r="D76" s="49" t="s">
        <v>205</v>
      </c>
      <c r="E76" s="49" t="s">
        <v>199</v>
      </c>
      <c r="F76" s="49"/>
      <c r="G76" s="49" t="s">
        <v>120</v>
      </c>
      <c r="H76" s="50">
        <v>20</v>
      </c>
      <c r="I76" s="55">
        <v>200</v>
      </c>
      <c r="J76" s="49" t="s">
        <v>36</v>
      </c>
      <c r="K76" s="49" t="s">
        <v>37</v>
      </c>
      <c r="P76" s="4"/>
    </row>
    <row r="77" spans="1:18" ht="15.75" customHeight="1">
      <c r="A77" s="49">
        <v>4</v>
      </c>
      <c r="B77" s="49" t="s">
        <v>339</v>
      </c>
      <c r="C77" s="49" t="s">
        <v>227</v>
      </c>
      <c r="D77" s="49" t="s">
        <v>340</v>
      </c>
      <c r="E77" s="49" t="s">
        <v>193</v>
      </c>
      <c r="F77" s="49"/>
      <c r="G77" s="49" t="s">
        <v>35</v>
      </c>
      <c r="H77" s="50">
        <v>10000</v>
      </c>
      <c r="I77" s="55">
        <v>1500</v>
      </c>
      <c r="J77" s="49" t="s">
        <v>36</v>
      </c>
      <c r="K77" s="49" t="s">
        <v>37</v>
      </c>
      <c r="P77" s="4"/>
      <c r="R77" s="4"/>
    </row>
    <row r="78" spans="1:18" ht="15.75" customHeight="1">
      <c r="A78" s="49">
        <v>4</v>
      </c>
      <c r="B78" s="49" t="s">
        <v>341</v>
      </c>
      <c r="C78" s="49" t="s">
        <v>227</v>
      </c>
      <c r="D78" s="49" t="s">
        <v>342</v>
      </c>
      <c r="E78" s="49" t="s">
        <v>307</v>
      </c>
      <c r="F78" s="49"/>
      <c r="G78" s="49" t="s">
        <v>35</v>
      </c>
      <c r="H78" s="50">
        <v>4000</v>
      </c>
      <c r="I78" s="55">
        <v>600</v>
      </c>
      <c r="J78" s="49" t="s">
        <v>36</v>
      </c>
      <c r="K78" s="49" t="s">
        <v>37</v>
      </c>
      <c r="P78" s="4"/>
    </row>
    <row r="79" spans="1:18" ht="15.75" customHeight="1">
      <c r="A79" s="49">
        <v>4</v>
      </c>
      <c r="B79" s="49" t="s">
        <v>343</v>
      </c>
      <c r="C79" s="49" t="s">
        <v>246</v>
      </c>
      <c r="D79" s="49" t="s">
        <v>244</v>
      </c>
      <c r="E79" s="49" t="s">
        <v>235</v>
      </c>
      <c r="F79" s="49"/>
      <c r="G79" s="49" t="s">
        <v>120</v>
      </c>
      <c r="H79" s="50">
        <v>8</v>
      </c>
      <c r="I79" s="55">
        <v>80</v>
      </c>
      <c r="J79" s="49" t="s">
        <v>36</v>
      </c>
      <c r="K79" s="49" t="s">
        <v>37</v>
      </c>
      <c r="P79" s="4"/>
    </row>
    <row r="80" spans="1:18" ht="15.75" customHeight="1">
      <c r="A80" s="49">
        <v>5</v>
      </c>
      <c r="B80" s="49" t="s">
        <v>344</v>
      </c>
      <c r="C80" s="49" t="s">
        <v>227</v>
      </c>
      <c r="D80" s="49" t="s">
        <v>345</v>
      </c>
      <c r="E80" s="49" t="s">
        <v>41</v>
      </c>
      <c r="F80" s="49"/>
      <c r="G80" s="49" t="s">
        <v>35</v>
      </c>
      <c r="H80" s="50">
        <v>1500</v>
      </c>
      <c r="I80" s="55">
        <v>225</v>
      </c>
      <c r="J80" s="49" t="s">
        <v>36</v>
      </c>
      <c r="K80" s="49" t="s">
        <v>37</v>
      </c>
      <c r="P80" s="4"/>
    </row>
    <row r="81" spans="1:18" ht="15.75" customHeight="1">
      <c r="A81" s="49">
        <v>5</v>
      </c>
      <c r="B81" s="49" t="s">
        <v>346</v>
      </c>
      <c r="C81" s="49" t="s">
        <v>227</v>
      </c>
      <c r="D81" s="49" t="s">
        <v>33</v>
      </c>
      <c r="E81" s="49" t="s">
        <v>199</v>
      </c>
      <c r="F81" s="49"/>
      <c r="G81" s="49" t="s">
        <v>35</v>
      </c>
      <c r="H81" s="50">
        <v>37500</v>
      </c>
      <c r="I81" s="55">
        <v>5625</v>
      </c>
      <c r="J81" s="49" t="s">
        <v>36</v>
      </c>
      <c r="K81" s="49" t="s">
        <v>37</v>
      </c>
      <c r="P81" s="4"/>
      <c r="R81" s="4"/>
    </row>
    <row r="82" spans="1:18" ht="15.75" customHeight="1">
      <c r="A82" s="49">
        <v>5</v>
      </c>
      <c r="B82" s="49" t="s">
        <v>347</v>
      </c>
      <c r="C82" s="49" t="s">
        <v>227</v>
      </c>
      <c r="D82" s="49" t="s">
        <v>348</v>
      </c>
      <c r="E82" s="49" t="s">
        <v>251</v>
      </c>
      <c r="F82" s="49"/>
      <c r="G82" s="49" t="s">
        <v>120</v>
      </c>
      <c r="H82" s="50">
        <v>59</v>
      </c>
      <c r="I82" s="55">
        <v>590</v>
      </c>
      <c r="J82" s="49" t="s">
        <v>36</v>
      </c>
      <c r="K82" s="49" t="s">
        <v>37</v>
      </c>
      <c r="P82" s="4"/>
    </row>
    <row r="83" spans="1:18" ht="15.75" customHeight="1">
      <c r="A83" s="49">
        <v>5</v>
      </c>
      <c r="B83" s="49" t="s">
        <v>349</v>
      </c>
      <c r="C83" s="49" t="s">
        <v>227</v>
      </c>
      <c r="D83" s="49" t="s">
        <v>350</v>
      </c>
      <c r="E83" s="49" t="s">
        <v>48</v>
      </c>
      <c r="F83" s="49"/>
      <c r="G83" s="49" t="s">
        <v>35</v>
      </c>
      <c r="H83" s="50">
        <v>1000</v>
      </c>
      <c r="I83" s="55">
        <v>150</v>
      </c>
      <c r="J83" s="49" t="s">
        <v>36</v>
      </c>
      <c r="K83" s="49" t="s">
        <v>37</v>
      </c>
      <c r="P83" s="4"/>
    </row>
    <row r="84" spans="1:18" ht="15.75" customHeight="1">
      <c r="A84" s="49">
        <v>5</v>
      </c>
      <c r="B84" s="49" t="s">
        <v>351</v>
      </c>
      <c r="C84" s="49" t="s">
        <v>246</v>
      </c>
      <c r="D84" s="49" t="s">
        <v>352</v>
      </c>
      <c r="E84" s="49" t="s">
        <v>307</v>
      </c>
      <c r="F84" s="49"/>
      <c r="G84" s="49" t="s">
        <v>35</v>
      </c>
      <c r="H84" s="50">
        <v>200</v>
      </c>
      <c r="I84" s="55">
        <v>30</v>
      </c>
      <c r="J84" s="49" t="s">
        <v>36</v>
      </c>
      <c r="K84" s="49" t="s">
        <v>37</v>
      </c>
      <c r="P84" s="4"/>
    </row>
    <row r="85" spans="1:18" ht="15.75" customHeight="1">
      <c r="A85" s="49">
        <v>5</v>
      </c>
      <c r="B85" s="49" t="s">
        <v>353</v>
      </c>
      <c r="C85" s="49" t="s">
        <v>227</v>
      </c>
      <c r="D85" s="49" t="s">
        <v>354</v>
      </c>
      <c r="E85" s="49" t="s">
        <v>251</v>
      </c>
      <c r="F85" s="49"/>
      <c r="G85" s="49" t="s">
        <v>355</v>
      </c>
      <c r="H85" s="50">
        <v>10</v>
      </c>
      <c r="I85" s="55">
        <v>100</v>
      </c>
      <c r="J85" s="49" t="s">
        <v>36</v>
      </c>
      <c r="K85" s="49" t="s">
        <v>37</v>
      </c>
      <c r="P85" s="4"/>
    </row>
    <row r="86" spans="1:18" ht="15.75" customHeight="1">
      <c r="A86" s="49">
        <v>5</v>
      </c>
      <c r="B86" s="49" t="s">
        <v>356</v>
      </c>
      <c r="C86" s="49" t="s">
        <v>227</v>
      </c>
      <c r="D86" s="49" t="s">
        <v>247</v>
      </c>
      <c r="E86" s="49" t="s">
        <v>307</v>
      </c>
      <c r="F86" s="49"/>
      <c r="G86" s="49" t="s">
        <v>35</v>
      </c>
      <c r="H86" s="50">
        <v>2000</v>
      </c>
      <c r="I86" s="55">
        <v>300</v>
      </c>
      <c r="J86" s="49" t="s">
        <v>36</v>
      </c>
      <c r="K86" s="49" t="s">
        <v>37</v>
      </c>
      <c r="P86" s="4"/>
    </row>
    <row r="87" spans="1:18" ht="15.75" customHeight="1">
      <c r="A87" s="49">
        <v>5</v>
      </c>
      <c r="B87" s="49" t="s">
        <v>357</v>
      </c>
      <c r="C87" s="49" t="s">
        <v>246</v>
      </c>
      <c r="D87" s="49" t="s">
        <v>358</v>
      </c>
      <c r="E87" s="49" t="s">
        <v>235</v>
      </c>
      <c r="F87" s="49"/>
      <c r="G87" s="49" t="s">
        <v>120</v>
      </c>
      <c r="H87" s="50">
        <v>15</v>
      </c>
      <c r="I87" s="55">
        <v>150</v>
      </c>
      <c r="J87" s="49" t="s">
        <v>36</v>
      </c>
      <c r="K87" s="49" t="s">
        <v>37</v>
      </c>
      <c r="P87" s="4"/>
    </row>
    <row r="88" spans="1:18" ht="15.75" customHeight="1">
      <c r="A88" s="49">
        <v>5</v>
      </c>
      <c r="B88" s="49" t="s">
        <v>359</v>
      </c>
      <c r="C88" s="49" t="s">
        <v>227</v>
      </c>
      <c r="D88" s="49" t="s">
        <v>360</v>
      </c>
      <c r="E88" s="49" t="s">
        <v>48</v>
      </c>
      <c r="F88" s="49"/>
      <c r="G88" s="49" t="s">
        <v>120</v>
      </c>
      <c r="H88" s="50">
        <v>5</v>
      </c>
      <c r="I88" s="55">
        <v>50</v>
      </c>
      <c r="J88" s="49" t="s">
        <v>36</v>
      </c>
      <c r="K88" s="49" t="s">
        <v>37</v>
      </c>
      <c r="P88" s="4"/>
    </row>
    <row r="89" spans="1:18" ht="15.75" customHeight="1">
      <c r="A89" s="49">
        <v>5</v>
      </c>
      <c r="B89" s="49" t="s">
        <v>361</v>
      </c>
      <c r="C89" s="49" t="s">
        <v>227</v>
      </c>
      <c r="D89" s="49" t="s">
        <v>362</v>
      </c>
      <c r="E89" s="49" t="s">
        <v>235</v>
      </c>
      <c r="F89" s="49"/>
      <c r="G89" s="49" t="s">
        <v>120</v>
      </c>
      <c r="H89" s="50">
        <v>5</v>
      </c>
      <c r="I89" s="55">
        <v>50</v>
      </c>
      <c r="J89" s="49" t="s">
        <v>36</v>
      </c>
      <c r="K89" s="49" t="s">
        <v>37</v>
      </c>
      <c r="P89" s="4"/>
    </row>
    <row r="90" spans="1:18" ht="15.75" customHeight="1">
      <c r="A90" s="49">
        <v>5</v>
      </c>
      <c r="B90" s="49" t="s">
        <v>363</v>
      </c>
      <c r="C90" s="49" t="s">
        <v>227</v>
      </c>
      <c r="D90" s="49" t="s">
        <v>32</v>
      </c>
      <c r="E90" s="49" t="s">
        <v>251</v>
      </c>
      <c r="F90" s="49"/>
      <c r="G90" s="49" t="s">
        <v>120</v>
      </c>
      <c r="H90" s="50">
        <v>120</v>
      </c>
      <c r="I90" s="55">
        <v>1200</v>
      </c>
      <c r="J90" s="49" t="s">
        <v>36</v>
      </c>
      <c r="K90" s="49" t="s">
        <v>37</v>
      </c>
      <c r="P90" s="4"/>
    </row>
    <row r="91" spans="1:18" ht="15.75" customHeight="1">
      <c r="A91" s="49">
        <v>5</v>
      </c>
      <c r="B91" s="49" t="s">
        <v>364</v>
      </c>
      <c r="C91" s="49" t="s">
        <v>227</v>
      </c>
      <c r="D91" s="49" t="s">
        <v>365</v>
      </c>
      <c r="E91" s="49" t="s">
        <v>232</v>
      </c>
      <c r="F91" s="49"/>
      <c r="G91" s="49" t="s">
        <v>35</v>
      </c>
      <c r="H91" s="50">
        <v>400</v>
      </c>
      <c r="I91" s="55">
        <v>60</v>
      </c>
      <c r="J91" s="49" t="s">
        <v>36</v>
      </c>
      <c r="K91" s="49" t="s">
        <v>37</v>
      </c>
      <c r="P91" s="4"/>
    </row>
    <row r="92" spans="1:18" ht="15.75" customHeight="1">
      <c r="A92" s="49">
        <v>6</v>
      </c>
      <c r="B92" s="49" t="s">
        <v>366</v>
      </c>
      <c r="C92" s="49" t="s">
        <v>227</v>
      </c>
      <c r="D92" s="49" t="s">
        <v>234</v>
      </c>
      <c r="E92" s="49" t="s">
        <v>235</v>
      </c>
      <c r="F92" s="49"/>
      <c r="G92" s="49" t="s">
        <v>35</v>
      </c>
      <c r="H92" s="50">
        <v>1000</v>
      </c>
      <c r="I92" s="55">
        <v>150</v>
      </c>
      <c r="J92" s="49" t="s">
        <v>36</v>
      </c>
      <c r="K92" s="49" t="s">
        <v>37</v>
      </c>
      <c r="P92" s="4"/>
    </row>
    <row r="93" spans="1:18" ht="15.75" customHeight="1">
      <c r="A93" s="49">
        <v>6</v>
      </c>
      <c r="B93" s="49" t="s">
        <v>367</v>
      </c>
      <c r="C93" s="49" t="s">
        <v>227</v>
      </c>
      <c r="D93" s="49" t="s">
        <v>231</v>
      </c>
      <c r="E93" s="49" t="s">
        <v>232</v>
      </c>
      <c r="F93" s="49"/>
      <c r="G93" s="49" t="s">
        <v>35</v>
      </c>
      <c r="H93" s="50">
        <v>2000</v>
      </c>
      <c r="I93" s="55">
        <v>300</v>
      </c>
      <c r="J93" s="49" t="s">
        <v>36</v>
      </c>
      <c r="K93" s="49" t="s">
        <v>37</v>
      </c>
      <c r="P93" s="4"/>
    </row>
    <row r="94" spans="1:18" ht="15.75" customHeight="1">
      <c r="A94" s="49">
        <v>6</v>
      </c>
      <c r="B94" s="49" t="s">
        <v>368</v>
      </c>
      <c r="C94" s="49" t="s">
        <v>246</v>
      </c>
      <c r="D94" s="49" t="s">
        <v>239</v>
      </c>
      <c r="E94" s="49" t="s">
        <v>232</v>
      </c>
      <c r="F94" s="49"/>
      <c r="G94" s="49" t="s">
        <v>35</v>
      </c>
      <c r="H94" s="50">
        <v>1000</v>
      </c>
      <c r="I94" s="55">
        <v>150</v>
      </c>
      <c r="J94" s="49" t="s">
        <v>36</v>
      </c>
      <c r="K94" s="49" t="s">
        <v>37</v>
      </c>
      <c r="P94" s="4"/>
    </row>
    <row r="95" spans="1:18" ht="15.75" customHeight="1">
      <c r="A95" s="49">
        <v>6</v>
      </c>
      <c r="B95" s="49" t="s">
        <v>369</v>
      </c>
      <c r="C95" s="49" t="s">
        <v>246</v>
      </c>
      <c r="D95" s="49" t="s">
        <v>370</v>
      </c>
      <c r="E95" s="49" t="s">
        <v>321</v>
      </c>
      <c r="F95" s="49"/>
      <c r="G95" s="49" t="s">
        <v>35</v>
      </c>
      <c r="H95" s="50">
        <v>2000</v>
      </c>
      <c r="I95" s="55">
        <v>300</v>
      </c>
      <c r="J95" s="49" t="s">
        <v>36</v>
      </c>
      <c r="K95" s="49" t="s">
        <v>37</v>
      </c>
      <c r="P95" s="4"/>
    </row>
    <row r="96" spans="1:18" ht="15.75" customHeight="1">
      <c r="A96" s="49">
        <v>6</v>
      </c>
      <c r="B96" s="49" t="s">
        <v>371</v>
      </c>
      <c r="C96" s="49" t="s">
        <v>227</v>
      </c>
      <c r="D96" s="49" t="s">
        <v>342</v>
      </c>
      <c r="E96" s="49" t="s">
        <v>307</v>
      </c>
      <c r="F96" s="49"/>
      <c r="G96" s="49" t="s">
        <v>35</v>
      </c>
      <c r="H96" s="50">
        <v>600</v>
      </c>
      <c r="I96" s="55">
        <v>90</v>
      </c>
      <c r="J96" s="49" t="s">
        <v>36</v>
      </c>
      <c r="K96" s="49" t="s">
        <v>37</v>
      </c>
      <c r="P96" s="4"/>
    </row>
    <row r="97" spans="1:16" ht="15.75" customHeight="1">
      <c r="A97" s="49">
        <v>6</v>
      </c>
      <c r="B97" s="49" t="s">
        <v>372</v>
      </c>
      <c r="C97" s="49" t="s">
        <v>227</v>
      </c>
      <c r="D97" s="49" t="s">
        <v>358</v>
      </c>
      <c r="E97" s="49" t="s">
        <v>235</v>
      </c>
      <c r="F97" s="49"/>
      <c r="G97" s="49" t="s">
        <v>35</v>
      </c>
      <c r="H97" s="50">
        <v>1000</v>
      </c>
      <c r="I97" s="55">
        <v>150</v>
      </c>
      <c r="J97" s="49" t="s">
        <v>36</v>
      </c>
      <c r="K97" s="49" t="s">
        <v>37</v>
      </c>
      <c r="P97" s="4"/>
    </row>
    <row r="98" spans="1:16" ht="15.75" customHeight="1">
      <c r="A98" s="49">
        <v>6</v>
      </c>
      <c r="B98" s="49" t="s">
        <v>372</v>
      </c>
      <c r="C98" s="49" t="s">
        <v>227</v>
      </c>
      <c r="D98" s="49" t="s">
        <v>358</v>
      </c>
      <c r="E98" s="49" t="s">
        <v>235</v>
      </c>
      <c r="F98" s="49"/>
      <c r="G98" s="49" t="s">
        <v>120</v>
      </c>
      <c r="H98" s="50">
        <v>3</v>
      </c>
      <c r="I98" s="55">
        <v>30</v>
      </c>
      <c r="J98" s="49" t="s">
        <v>36</v>
      </c>
      <c r="K98" s="49" t="s">
        <v>37</v>
      </c>
      <c r="P98" s="4"/>
    </row>
    <row r="99" spans="1:16" ht="15.75" customHeight="1">
      <c r="A99" s="49">
        <v>6</v>
      </c>
      <c r="B99" s="49" t="s">
        <v>373</v>
      </c>
      <c r="C99" s="49" t="s">
        <v>246</v>
      </c>
      <c r="D99" s="49" t="s">
        <v>247</v>
      </c>
      <c r="E99" s="49" t="s">
        <v>248</v>
      </c>
      <c r="F99" s="49"/>
      <c r="G99" s="49" t="s">
        <v>35</v>
      </c>
      <c r="H99" s="50">
        <v>1000</v>
      </c>
      <c r="I99" s="55">
        <v>150</v>
      </c>
      <c r="J99" s="49" t="s">
        <v>36</v>
      </c>
      <c r="K99" s="49" t="s">
        <v>37</v>
      </c>
      <c r="P99" s="4"/>
    </row>
    <row r="100" spans="1:16" ht="15.75" customHeight="1">
      <c r="A100" s="49">
        <v>6</v>
      </c>
      <c r="B100" s="49" t="s">
        <v>374</v>
      </c>
      <c r="C100" s="49" t="s">
        <v>227</v>
      </c>
      <c r="D100" s="49" t="s">
        <v>375</v>
      </c>
      <c r="E100" s="49" t="s">
        <v>235</v>
      </c>
      <c r="F100" s="49"/>
      <c r="G100" s="49" t="s">
        <v>35</v>
      </c>
      <c r="H100" s="50">
        <v>100</v>
      </c>
      <c r="I100" s="55">
        <v>15</v>
      </c>
      <c r="J100" s="49" t="s">
        <v>36</v>
      </c>
      <c r="K100" s="49" t="s">
        <v>37</v>
      </c>
      <c r="P100" s="4"/>
    </row>
    <row r="101" spans="1:16" ht="15.75" customHeight="1">
      <c r="A101" s="49">
        <v>6</v>
      </c>
      <c r="B101" s="49" t="s">
        <v>376</v>
      </c>
      <c r="C101" s="49" t="s">
        <v>227</v>
      </c>
      <c r="D101" s="49" t="s">
        <v>377</v>
      </c>
      <c r="E101" s="49" t="s">
        <v>75</v>
      </c>
      <c r="F101" s="49"/>
      <c r="G101" s="49" t="s">
        <v>120</v>
      </c>
      <c r="H101" s="50">
        <v>33</v>
      </c>
      <c r="I101" s="55">
        <v>330</v>
      </c>
      <c r="J101" s="49" t="s">
        <v>36</v>
      </c>
      <c r="K101" s="49" t="s">
        <v>37</v>
      </c>
      <c r="P101" s="4"/>
    </row>
    <row r="102" spans="1:16" ht="15.75" customHeight="1">
      <c r="A102" s="49">
        <v>6</v>
      </c>
      <c r="B102" s="49" t="s">
        <v>376</v>
      </c>
      <c r="C102" s="49" t="s">
        <v>227</v>
      </c>
      <c r="D102" s="49" t="s">
        <v>377</v>
      </c>
      <c r="E102" s="49" t="s">
        <v>75</v>
      </c>
      <c r="F102" s="49"/>
      <c r="G102" s="49" t="s">
        <v>242</v>
      </c>
      <c r="H102" s="50">
        <v>20</v>
      </c>
      <c r="I102" s="55">
        <v>60</v>
      </c>
      <c r="J102" s="49" t="s">
        <v>36</v>
      </c>
      <c r="K102" s="49" t="s">
        <v>37</v>
      </c>
      <c r="P102" s="4"/>
    </row>
    <row r="103" spans="1:16" ht="15.75" customHeight="1">
      <c r="A103" s="49">
        <v>8</v>
      </c>
      <c r="B103" s="49" t="s">
        <v>378</v>
      </c>
      <c r="C103" s="49" t="s">
        <v>227</v>
      </c>
      <c r="D103" s="49"/>
      <c r="E103" s="49" t="s">
        <v>75</v>
      </c>
      <c r="F103" s="49"/>
      <c r="G103" s="49" t="s">
        <v>35</v>
      </c>
      <c r="H103" s="50">
        <v>200</v>
      </c>
      <c r="I103" s="55">
        <v>30</v>
      </c>
      <c r="J103" s="49" t="s">
        <v>36</v>
      </c>
      <c r="K103" s="49" t="s">
        <v>37</v>
      </c>
      <c r="P103" s="4"/>
    </row>
    <row r="104" spans="1:16" ht="15.75" customHeight="1">
      <c r="A104" s="49">
        <v>8</v>
      </c>
      <c r="B104" s="49" t="s">
        <v>378</v>
      </c>
      <c r="C104" s="49" t="s">
        <v>227</v>
      </c>
      <c r="D104" s="49"/>
      <c r="E104" s="49" t="s">
        <v>75</v>
      </c>
      <c r="F104" s="49"/>
      <c r="G104" s="49" t="s">
        <v>120</v>
      </c>
      <c r="H104" s="50">
        <v>20</v>
      </c>
      <c r="I104" s="55">
        <v>200</v>
      </c>
      <c r="J104" s="49" t="s">
        <v>36</v>
      </c>
      <c r="K104" s="49" t="s">
        <v>37</v>
      </c>
      <c r="P104" s="4"/>
    </row>
    <row r="105" spans="1:16" ht="15.75" customHeight="1">
      <c r="A105" s="49">
        <v>8</v>
      </c>
      <c r="B105" s="49" t="s">
        <v>379</v>
      </c>
      <c r="C105" s="49" t="s">
        <v>227</v>
      </c>
      <c r="D105" s="49" t="s">
        <v>380</v>
      </c>
      <c r="E105" s="49" t="s">
        <v>48</v>
      </c>
      <c r="F105" s="49"/>
      <c r="G105" s="49" t="s">
        <v>120</v>
      </c>
      <c r="H105" s="50">
        <v>5</v>
      </c>
      <c r="I105" s="55">
        <v>50</v>
      </c>
      <c r="J105" s="49" t="s">
        <v>36</v>
      </c>
      <c r="K105" s="49" t="s">
        <v>37</v>
      </c>
      <c r="P105" s="4"/>
    </row>
    <row r="106" spans="1:16" ht="15.75" customHeight="1">
      <c r="A106" s="49">
        <v>8</v>
      </c>
      <c r="B106" s="49" t="s">
        <v>379</v>
      </c>
      <c r="C106" s="49" t="s">
        <v>227</v>
      </c>
      <c r="D106" s="49" t="s">
        <v>380</v>
      </c>
      <c r="E106" s="49" t="s">
        <v>48</v>
      </c>
      <c r="F106" s="49"/>
      <c r="G106" s="49" t="s">
        <v>242</v>
      </c>
      <c r="H106" s="50">
        <v>25</v>
      </c>
      <c r="I106" s="55">
        <v>75</v>
      </c>
      <c r="J106" s="49" t="s">
        <v>36</v>
      </c>
      <c r="K106" s="49" t="s">
        <v>37</v>
      </c>
      <c r="P106" s="4"/>
    </row>
    <row r="107" spans="1:16" ht="15.75" customHeight="1">
      <c r="A107" s="49">
        <v>8</v>
      </c>
      <c r="B107" s="49" t="s">
        <v>381</v>
      </c>
      <c r="C107" s="49" t="s">
        <v>227</v>
      </c>
      <c r="D107" s="49" t="s">
        <v>382</v>
      </c>
      <c r="E107" s="49" t="s">
        <v>48</v>
      </c>
      <c r="F107" s="49"/>
      <c r="G107" s="49" t="s">
        <v>120</v>
      </c>
      <c r="H107" s="50">
        <v>120</v>
      </c>
      <c r="I107" s="55">
        <v>1200</v>
      </c>
      <c r="J107" s="49" t="s">
        <v>36</v>
      </c>
      <c r="K107" s="49" t="s">
        <v>37</v>
      </c>
      <c r="P107" s="4"/>
    </row>
    <row r="108" spans="1:16" ht="15.75" customHeight="1">
      <c r="A108" s="49">
        <v>8</v>
      </c>
      <c r="B108" s="49" t="s">
        <v>383</v>
      </c>
      <c r="C108" s="49" t="s">
        <v>227</v>
      </c>
      <c r="D108" s="49" t="s">
        <v>247</v>
      </c>
      <c r="E108" s="49" t="s">
        <v>248</v>
      </c>
      <c r="F108" s="49"/>
      <c r="G108" s="49" t="s">
        <v>35</v>
      </c>
      <c r="H108" s="50">
        <v>4000</v>
      </c>
      <c r="I108" s="55">
        <v>600</v>
      </c>
      <c r="J108" s="49" t="s">
        <v>36</v>
      </c>
      <c r="K108" s="49" t="s">
        <v>37</v>
      </c>
      <c r="P108" s="4"/>
    </row>
    <row r="109" spans="1:16" ht="15.75" customHeight="1">
      <c r="A109" s="49">
        <v>8</v>
      </c>
      <c r="B109" s="49" t="s">
        <v>384</v>
      </c>
      <c r="C109" s="49" t="s">
        <v>227</v>
      </c>
      <c r="D109" s="49" t="s">
        <v>385</v>
      </c>
      <c r="E109" s="49" t="s">
        <v>386</v>
      </c>
      <c r="F109" s="49"/>
      <c r="G109" s="49" t="s">
        <v>35</v>
      </c>
      <c r="H109" s="50">
        <v>600</v>
      </c>
      <c r="I109" s="55">
        <v>90</v>
      </c>
      <c r="J109" s="49" t="s">
        <v>36</v>
      </c>
      <c r="K109" s="49" t="s">
        <v>37</v>
      </c>
      <c r="P109" s="4"/>
    </row>
    <row r="110" spans="1:16" ht="15.75" customHeight="1">
      <c r="A110" s="49">
        <v>8</v>
      </c>
      <c r="B110" s="49" t="s">
        <v>387</v>
      </c>
      <c r="C110" s="49" t="s">
        <v>246</v>
      </c>
      <c r="D110" s="49" t="s">
        <v>388</v>
      </c>
      <c r="E110" s="49" t="s">
        <v>164</v>
      </c>
      <c r="F110" s="49"/>
      <c r="G110" s="49" t="s">
        <v>35</v>
      </c>
      <c r="H110" s="50">
        <v>500</v>
      </c>
      <c r="I110" s="55">
        <v>75</v>
      </c>
      <c r="J110" s="49" t="s">
        <v>36</v>
      </c>
      <c r="K110" s="49" t="s">
        <v>37</v>
      </c>
      <c r="P110" s="4"/>
    </row>
    <row r="111" spans="1:16" ht="15.75" customHeight="1">
      <c r="A111" s="49">
        <v>8</v>
      </c>
      <c r="B111" s="49" t="s">
        <v>389</v>
      </c>
      <c r="C111" s="49" t="s">
        <v>227</v>
      </c>
      <c r="D111" s="49" t="s">
        <v>390</v>
      </c>
      <c r="E111" s="49" t="s">
        <v>199</v>
      </c>
      <c r="F111" s="49"/>
      <c r="G111" s="49" t="s">
        <v>35</v>
      </c>
      <c r="H111" s="50">
        <v>1500</v>
      </c>
      <c r="I111" s="55">
        <v>225</v>
      </c>
      <c r="J111" s="49" t="s">
        <v>36</v>
      </c>
      <c r="K111" s="49" t="s">
        <v>37</v>
      </c>
      <c r="P111" s="4"/>
    </row>
    <row r="112" spans="1:16" ht="15.75" customHeight="1">
      <c r="A112" s="49">
        <v>8</v>
      </c>
      <c r="B112" s="49" t="s">
        <v>391</v>
      </c>
      <c r="C112" s="49" t="s">
        <v>227</v>
      </c>
      <c r="D112" s="49" t="s">
        <v>392</v>
      </c>
      <c r="E112" s="49" t="s">
        <v>148</v>
      </c>
      <c r="F112" s="49"/>
      <c r="G112" s="49" t="s">
        <v>35</v>
      </c>
      <c r="H112" s="50">
        <v>7000</v>
      </c>
      <c r="I112" s="55">
        <v>1050</v>
      </c>
      <c r="J112" s="49" t="s">
        <v>36</v>
      </c>
      <c r="K112" s="49" t="s">
        <v>37</v>
      </c>
      <c r="P112" s="4"/>
    </row>
    <row r="113" spans="1:18" ht="15.75" customHeight="1">
      <c r="A113" s="49">
        <v>8</v>
      </c>
      <c r="B113" s="49" t="s">
        <v>393</v>
      </c>
      <c r="C113" s="49" t="s">
        <v>227</v>
      </c>
      <c r="D113" s="49" t="s">
        <v>394</v>
      </c>
      <c r="E113" s="49" t="s">
        <v>232</v>
      </c>
      <c r="F113" s="49"/>
      <c r="G113" s="49" t="s">
        <v>35</v>
      </c>
      <c r="H113" s="50">
        <v>2000</v>
      </c>
      <c r="I113" s="55">
        <v>300</v>
      </c>
      <c r="J113" s="49" t="s">
        <v>36</v>
      </c>
      <c r="K113" s="49" t="s">
        <v>37</v>
      </c>
      <c r="P113" s="4"/>
    </row>
    <row r="114" spans="1:18" ht="15.75" customHeight="1">
      <c r="A114" s="49">
        <v>8</v>
      </c>
      <c r="B114" s="49" t="s">
        <v>395</v>
      </c>
      <c r="C114" s="49" t="s">
        <v>227</v>
      </c>
      <c r="D114" s="49" t="s">
        <v>396</v>
      </c>
      <c r="E114" s="49" t="s">
        <v>48</v>
      </c>
      <c r="F114" s="49"/>
      <c r="G114" s="49" t="s">
        <v>35</v>
      </c>
      <c r="H114" s="50">
        <v>200</v>
      </c>
      <c r="I114" s="55">
        <v>30</v>
      </c>
      <c r="J114" s="49" t="s">
        <v>36</v>
      </c>
      <c r="K114" s="49" t="s">
        <v>37</v>
      </c>
      <c r="P114" s="4"/>
    </row>
    <row r="115" spans="1:18" ht="15.75" customHeight="1">
      <c r="A115" s="49">
        <v>8</v>
      </c>
      <c r="B115" s="49" t="s">
        <v>397</v>
      </c>
      <c r="C115" s="49" t="s">
        <v>227</v>
      </c>
      <c r="D115" s="49" t="s">
        <v>277</v>
      </c>
      <c r="E115" s="49" t="s">
        <v>232</v>
      </c>
      <c r="F115" s="49"/>
      <c r="G115" s="49" t="s">
        <v>35</v>
      </c>
      <c r="H115" s="50">
        <v>2000</v>
      </c>
      <c r="I115" s="55">
        <v>300</v>
      </c>
      <c r="J115" s="49" t="s">
        <v>36</v>
      </c>
      <c r="K115" s="49" t="s">
        <v>37</v>
      </c>
      <c r="P115" s="4"/>
    </row>
    <row r="116" spans="1:18" ht="15.75" customHeight="1">
      <c r="A116" s="49">
        <v>8</v>
      </c>
      <c r="B116" s="49" t="s">
        <v>397</v>
      </c>
      <c r="C116" s="49" t="s">
        <v>227</v>
      </c>
      <c r="D116" s="49" t="s">
        <v>277</v>
      </c>
      <c r="E116" s="49" t="s">
        <v>232</v>
      </c>
      <c r="F116" s="49"/>
      <c r="G116" s="49" t="s">
        <v>35</v>
      </c>
      <c r="H116" s="50">
        <v>500</v>
      </c>
      <c r="I116" s="55"/>
      <c r="J116" s="49" t="s">
        <v>36</v>
      </c>
      <c r="K116" s="49" t="s">
        <v>37</v>
      </c>
      <c r="P116" s="4"/>
    </row>
    <row r="117" spans="1:18" ht="15.75" customHeight="1">
      <c r="A117" s="49">
        <v>8</v>
      </c>
      <c r="B117" s="49" t="s">
        <v>398</v>
      </c>
      <c r="C117" s="49" t="s">
        <v>227</v>
      </c>
      <c r="D117" s="49" t="s">
        <v>277</v>
      </c>
      <c r="E117" s="49" t="s">
        <v>232</v>
      </c>
      <c r="F117" s="49"/>
      <c r="G117" s="49" t="s">
        <v>35</v>
      </c>
      <c r="H117" s="50">
        <v>1000</v>
      </c>
      <c r="I117" s="55">
        <v>150</v>
      </c>
      <c r="J117" s="49" t="s">
        <v>36</v>
      </c>
      <c r="K117" s="49" t="s">
        <v>37</v>
      </c>
      <c r="P117" s="4"/>
    </row>
    <row r="118" spans="1:18" ht="15.75" customHeight="1">
      <c r="A118" s="49">
        <v>8</v>
      </c>
      <c r="B118" s="49" t="s">
        <v>399</v>
      </c>
      <c r="C118" s="49" t="s">
        <v>227</v>
      </c>
      <c r="D118" s="49" t="s">
        <v>277</v>
      </c>
      <c r="E118" s="49" t="s">
        <v>232</v>
      </c>
      <c r="F118" s="49"/>
      <c r="G118" s="49" t="s">
        <v>35</v>
      </c>
      <c r="H118" s="50">
        <v>700</v>
      </c>
      <c r="I118" s="55">
        <v>105</v>
      </c>
      <c r="J118" s="49" t="s">
        <v>36</v>
      </c>
      <c r="K118" s="49" t="s">
        <v>37</v>
      </c>
      <c r="P118" s="4"/>
    </row>
    <row r="119" spans="1:18" ht="15.75" customHeight="1">
      <c r="A119" s="49">
        <v>8</v>
      </c>
      <c r="B119" s="49" t="s">
        <v>400</v>
      </c>
      <c r="C119" s="49" t="s">
        <v>227</v>
      </c>
      <c r="D119" s="49" t="s">
        <v>401</v>
      </c>
      <c r="E119" s="49" t="s">
        <v>193</v>
      </c>
      <c r="F119" s="49"/>
      <c r="G119" s="49" t="s">
        <v>35</v>
      </c>
      <c r="H119" s="50">
        <v>10000</v>
      </c>
      <c r="I119" s="55">
        <v>1500</v>
      </c>
      <c r="J119" s="49" t="s">
        <v>36</v>
      </c>
      <c r="K119" s="49" t="s">
        <v>37</v>
      </c>
      <c r="P119" s="4"/>
      <c r="R119" s="4"/>
    </row>
    <row r="120" spans="1:18" ht="15.75" customHeight="1">
      <c r="A120" s="49">
        <v>8</v>
      </c>
      <c r="B120" s="49" t="s">
        <v>402</v>
      </c>
      <c r="C120" s="49" t="s">
        <v>227</v>
      </c>
      <c r="D120" s="49" t="s">
        <v>326</v>
      </c>
      <c r="E120" s="49" t="s">
        <v>199</v>
      </c>
      <c r="F120" s="49"/>
      <c r="G120" s="49" t="s">
        <v>35</v>
      </c>
      <c r="H120" s="50">
        <v>1000</v>
      </c>
      <c r="I120" s="55">
        <v>150</v>
      </c>
      <c r="J120" s="49" t="s">
        <v>36</v>
      </c>
      <c r="K120" s="49" t="s">
        <v>37</v>
      </c>
      <c r="P120" s="4"/>
      <c r="R120" s="4"/>
    </row>
    <row r="121" spans="1:18" ht="15.75" customHeight="1">
      <c r="A121" s="49">
        <v>8</v>
      </c>
      <c r="B121" s="49" t="s">
        <v>403</v>
      </c>
      <c r="C121" s="49" t="s">
        <v>227</v>
      </c>
      <c r="D121" s="49" t="s">
        <v>33</v>
      </c>
      <c r="E121" s="49" t="s">
        <v>41</v>
      </c>
      <c r="F121" s="49"/>
      <c r="G121" s="49" t="s">
        <v>35</v>
      </c>
      <c r="H121" s="50">
        <v>2000</v>
      </c>
      <c r="I121" s="55">
        <v>300</v>
      </c>
      <c r="J121" s="49" t="s">
        <v>36</v>
      </c>
      <c r="K121" s="49" t="s">
        <v>37</v>
      </c>
      <c r="P121" s="4"/>
    </row>
    <row r="122" spans="1:18" ht="15.75" customHeight="1">
      <c r="A122" s="49">
        <v>8</v>
      </c>
      <c r="B122" s="49" t="s">
        <v>404</v>
      </c>
      <c r="C122" s="49" t="s">
        <v>227</v>
      </c>
      <c r="D122" s="49" t="s">
        <v>405</v>
      </c>
      <c r="E122" s="49" t="s">
        <v>241</v>
      </c>
      <c r="F122" s="49"/>
      <c r="G122" s="49" t="s">
        <v>35</v>
      </c>
      <c r="H122" s="50">
        <v>5000</v>
      </c>
      <c r="I122" s="55">
        <v>750</v>
      </c>
      <c r="J122" s="49" t="s">
        <v>36</v>
      </c>
      <c r="K122" s="49" t="s">
        <v>37</v>
      </c>
      <c r="P122" s="4"/>
    </row>
    <row r="123" spans="1:18" ht="15.75" customHeight="1">
      <c r="A123" s="49">
        <v>8</v>
      </c>
      <c r="B123" s="49" t="s">
        <v>406</v>
      </c>
      <c r="C123" s="49" t="s">
        <v>227</v>
      </c>
      <c r="D123" s="49" t="s">
        <v>407</v>
      </c>
      <c r="E123" s="49" t="s">
        <v>164</v>
      </c>
      <c r="F123" s="49"/>
      <c r="G123" s="49" t="s">
        <v>35</v>
      </c>
      <c r="H123" s="50">
        <v>2500</v>
      </c>
      <c r="I123" s="55">
        <v>375</v>
      </c>
      <c r="J123" s="49" t="s">
        <v>36</v>
      </c>
      <c r="K123" s="49" t="s">
        <v>37</v>
      </c>
      <c r="P123" s="4"/>
    </row>
    <row r="124" spans="1:18" ht="15.75" customHeight="1">
      <c r="A124" s="49">
        <v>8</v>
      </c>
      <c r="B124" s="49" t="s">
        <v>408</v>
      </c>
      <c r="C124" s="49" t="s">
        <v>246</v>
      </c>
      <c r="D124" s="49" t="s">
        <v>409</v>
      </c>
      <c r="E124" s="49" t="s">
        <v>235</v>
      </c>
      <c r="F124" s="49"/>
      <c r="G124" s="49" t="s">
        <v>35</v>
      </c>
      <c r="H124" s="50">
        <v>1200</v>
      </c>
      <c r="I124" s="55">
        <v>180</v>
      </c>
      <c r="J124" s="49" t="s">
        <v>36</v>
      </c>
      <c r="K124" s="49" t="s">
        <v>37</v>
      </c>
      <c r="P124" s="4"/>
    </row>
    <row r="125" spans="1:18" ht="15.75" customHeight="1">
      <c r="A125" s="49">
        <v>8</v>
      </c>
      <c r="B125" s="49" t="s">
        <v>305</v>
      </c>
      <c r="C125" s="49" t="s">
        <v>227</v>
      </c>
      <c r="D125" s="49" t="s">
        <v>306</v>
      </c>
      <c r="E125" s="49" t="s">
        <v>307</v>
      </c>
      <c r="F125" s="49"/>
      <c r="G125" s="49" t="s">
        <v>120</v>
      </c>
      <c r="H125" s="50">
        <v>33</v>
      </c>
      <c r="I125" s="55">
        <v>330</v>
      </c>
      <c r="J125" s="49" t="s">
        <v>36</v>
      </c>
      <c r="K125" s="49" t="s">
        <v>37</v>
      </c>
      <c r="P125" s="4"/>
    </row>
    <row r="126" spans="1:18" ht="15.75" customHeight="1">
      <c r="A126" s="49">
        <v>8</v>
      </c>
      <c r="B126" s="49" t="s">
        <v>410</v>
      </c>
      <c r="C126" s="49" t="s">
        <v>246</v>
      </c>
      <c r="D126" s="49" t="s">
        <v>32</v>
      </c>
      <c r="E126" s="49" t="s">
        <v>241</v>
      </c>
      <c r="F126" s="49"/>
      <c r="G126" s="49" t="s">
        <v>35</v>
      </c>
      <c r="H126" s="50">
        <v>2000</v>
      </c>
      <c r="I126" s="55">
        <v>300</v>
      </c>
      <c r="J126" s="49" t="s">
        <v>36</v>
      </c>
      <c r="K126" s="49" t="s">
        <v>37</v>
      </c>
      <c r="P126" s="4"/>
    </row>
    <row r="127" spans="1:18" ht="15.75" customHeight="1">
      <c r="A127" s="49">
        <v>8</v>
      </c>
      <c r="B127" s="49" t="s">
        <v>410</v>
      </c>
      <c r="C127" s="49" t="s">
        <v>246</v>
      </c>
      <c r="D127" s="49" t="s">
        <v>32</v>
      </c>
      <c r="E127" s="49" t="s">
        <v>241</v>
      </c>
      <c r="F127" s="49"/>
      <c r="G127" s="49" t="s">
        <v>120</v>
      </c>
      <c r="H127" s="50">
        <v>20</v>
      </c>
      <c r="I127" s="55">
        <v>200</v>
      </c>
      <c r="J127" s="49" t="s">
        <v>36</v>
      </c>
      <c r="K127" s="49" t="s">
        <v>37</v>
      </c>
      <c r="P127" s="4"/>
    </row>
    <row r="128" spans="1:18" ht="15.75" customHeight="1">
      <c r="A128" s="49">
        <v>8</v>
      </c>
      <c r="B128" s="49" t="s">
        <v>411</v>
      </c>
      <c r="C128" s="49" t="s">
        <v>227</v>
      </c>
      <c r="D128" s="49" t="s">
        <v>231</v>
      </c>
      <c r="E128" s="49" t="s">
        <v>232</v>
      </c>
      <c r="F128" s="49"/>
      <c r="G128" s="49" t="s">
        <v>35</v>
      </c>
      <c r="H128" s="50">
        <v>500</v>
      </c>
      <c r="I128" s="55">
        <v>75</v>
      </c>
      <c r="J128" s="49" t="s">
        <v>36</v>
      </c>
      <c r="K128" s="49" t="s">
        <v>37</v>
      </c>
      <c r="P128" s="4"/>
    </row>
    <row r="129" spans="1:18" ht="15.75" customHeight="1">
      <c r="A129" s="49">
        <v>8</v>
      </c>
      <c r="B129" s="49" t="s">
        <v>411</v>
      </c>
      <c r="C129" s="49" t="s">
        <v>227</v>
      </c>
      <c r="D129" s="49" t="s">
        <v>231</v>
      </c>
      <c r="E129" s="49" t="s">
        <v>232</v>
      </c>
      <c r="F129" s="49"/>
      <c r="G129" s="49" t="s">
        <v>120</v>
      </c>
      <c r="H129" s="50">
        <v>15</v>
      </c>
      <c r="I129" s="55">
        <v>150</v>
      </c>
      <c r="J129" s="49" t="s">
        <v>36</v>
      </c>
      <c r="K129" s="49" t="s">
        <v>37</v>
      </c>
      <c r="P129" s="4"/>
    </row>
    <row r="130" spans="1:18" ht="15.75" customHeight="1">
      <c r="A130" s="49">
        <v>8</v>
      </c>
      <c r="B130" s="49" t="s">
        <v>412</v>
      </c>
      <c r="C130" s="49" t="s">
        <v>227</v>
      </c>
      <c r="D130" s="49" t="s">
        <v>413</v>
      </c>
      <c r="E130" s="49" t="s">
        <v>80</v>
      </c>
      <c r="F130" s="49"/>
      <c r="G130" s="49" t="s">
        <v>35</v>
      </c>
      <c r="H130" s="50">
        <v>10000</v>
      </c>
      <c r="I130" s="55">
        <v>1500</v>
      </c>
      <c r="J130" s="49" t="s">
        <v>36</v>
      </c>
      <c r="K130" s="49" t="s">
        <v>37</v>
      </c>
      <c r="P130" s="4"/>
    </row>
    <row r="131" spans="1:18" ht="15.75" customHeight="1">
      <c r="A131" s="49">
        <v>8</v>
      </c>
      <c r="B131" s="49" t="s">
        <v>414</v>
      </c>
      <c r="C131" s="49" t="s">
        <v>227</v>
      </c>
      <c r="D131" s="49" t="s">
        <v>32</v>
      </c>
      <c r="E131" s="49" t="s">
        <v>307</v>
      </c>
      <c r="F131" s="49"/>
      <c r="G131" s="49" t="s">
        <v>415</v>
      </c>
      <c r="H131" s="50">
        <v>130</v>
      </c>
      <c r="I131" s="55">
        <v>130</v>
      </c>
      <c r="J131" s="49" t="s">
        <v>36</v>
      </c>
      <c r="K131" s="49" t="s">
        <v>37</v>
      </c>
      <c r="P131" s="4"/>
    </row>
    <row r="132" spans="1:18" ht="15.75" customHeight="1">
      <c r="A132" s="49">
        <v>9</v>
      </c>
      <c r="B132" s="49" t="s">
        <v>416</v>
      </c>
      <c r="C132" s="49" t="s">
        <v>227</v>
      </c>
      <c r="D132" s="49" t="s">
        <v>309</v>
      </c>
      <c r="E132" s="49" t="s">
        <v>248</v>
      </c>
      <c r="F132" s="49"/>
      <c r="G132" s="49" t="s">
        <v>35</v>
      </c>
      <c r="H132" s="50">
        <v>3500</v>
      </c>
      <c r="I132" s="55">
        <v>525</v>
      </c>
      <c r="J132" s="49" t="s">
        <v>36</v>
      </c>
      <c r="K132" s="49" t="s">
        <v>37</v>
      </c>
      <c r="P132" s="4"/>
    </row>
    <row r="133" spans="1:18" ht="15.75" customHeight="1">
      <c r="A133" s="49">
        <v>9</v>
      </c>
      <c r="B133" s="49" t="s">
        <v>417</v>
      </c>
      <c r="C133" s="49" t="s">
        <v>227</v>
      </c>
      <c r="D133" s="49" t="s">
        <v>418</v>
      </c>
      <c r="E133" s="49" t="s">
        <v>307</v>
      </c>
      <c r="F133" s="49"/>
      <c r="G133" s="49" t="s">
        <v>35</v>
      </c>
      <c r="H133" s="50">
        <v>500</v>
      </c>
      <c r="I133" s="55">
        <v>75</v>
      </c>
      <c r="J133" s="49" t="s">
        <v>36</v>
      </c>
      <c r="K133" s="49" t="s">
        <v>37</v>
      </c>
      <c r="P133" s="4"/>
    </row>
    <row r="134" spans="1:18" ht="15.75" customHeight="1">
      <c r="A134" s="49">
        <v>9</v>
      </c>
      <c r="B134" s="49" t="s">
        <v>419</v>
      </c>
      <c r="C134" s="49" t="s">
        <v>227</v>
      </c>
      <c r="D134" s="49" t="s">
        <v>409</v>
      </c>
      <c r="E134" s="49" t="s">
        <v>235</v>
      </c>
      <c r="F134" s="49"/>
      <c r="G134" s="49" t="s">
        <v>35</v>
      </c>
      <c r="H134" s="50">
        <v>1500</v>
      </c>
      <c r="I134" s="55">
        <v>225</v>
      </c>
      <c r="J134" s="49" t="s">
        <v>36</v>
      </c>
      <c r="K134" s="49" t="s">
        <v>37</v>
      </c>
      <c r="P134" s="4"/>
    </row>
    <row r="135" spans="1:18" ht="15.75" customHeight="1">
      <c r="A135" s="49">
        <v>9</v>
      </c>
      <c r="B135" s="49" t="s">
        <v>420</v>
      </c>
      <c r="C135" s="49" t="s">
        <v>246</v>
      </c>
      <c r="D135" s="49" t="s">
        <v>421</v>
      </c>
      <c r="E135" s="49" t="s">
        <v>251</v>
      </c>
      <c r="F135" s="49"/>
      <c r="G135" s="49" t="s">
        <v>35</v>
      </c>
      <c r="H135" s="50">
        <v>700</v>
      </c>
      <c r="I135" s="55">
        <v>105</v>
      </c>
      <c r="J135" s="49" t="s">
        <v>36</v>
      </c>
      <c r="K135" s="49" t="s">
        <v>37</v>
      </c>
      <c r="P135" s="4"/>
    </row>
    <row r="136" spans="1:18" ht="15.75" customHeight="1">
      <c r="A136" s="49">
        <v>9</v>
      </c>
      <c r="B136" s="49" t="s">
        <v>422</v>
      </c>
      <c r="C136" s="49" t="s">
        <v>227</v>
      </c>
      <c r="D136" s="49" t="s">
        <v>423</v>
      </c>
      <c r="E136" s="49" t="s">
        <v>248</v>
      </c>
      <c r="F136" s="49"/>
      <c r="G136" s="49" t="s">
        <v>35</v>
      </c>
      <c r="H136" s="50">
        <v>1500</v>
      </c>
      <c r="I136" s="55">
        <v>225</v>
      </c>
      <c r="J136" s="49" t="s">
        <v>36</v>
      </c>
      <c r="K136" s="49" t="s">
        <v>37</v>
      </c>
      <c r="P136" s="4"/>
    </row>
    <row r="137" spans="1:18" ht="15.75" customHeight="1">
      <c r="A137" s="49">
        <v>10</v>
      </c>
      <c r="B137" s="49" t="s">
        <v>424</v>
      </c>
      <c r="C137" s="49" t="s">
        <v>246</v>
      </c>
      <c r="D137" s="49" t="s">
        <v>388</v>
      </c>
      <c r="E137" s="49" t="s">
        <v>164</v>
      </c>
      <c r="F137" s="49"/>
      <c r="G137" s="49" t="s">
        <v>35</v>
      </c>
      <c r="H137" s="50">
        <v>4000</v>
      </c>
      <c r="I137" s="55">
        <v>600</v>
      </c>
      <c r="J137" s="49" t="s">
        <v>36</v>
      </c>
      <c r="K137" s="49" t="s">
        <v>37</v>
      </c>
      <c r="P137" s="4"/>
    </row>
    <row r="138" spans="1:18" ht="15.75" customHeight="1">
      <c r="A138" s="49">
        <v>10</v>
      </c>
      <c r="B138" s="49" t="s">
        <v>425</v>
      </c>
      <c r="C138" s="49" t="s">
        <v>246</v>
      </c>
      <c r="D138" s="49" t="s">
        <v>277</v>
      </c>
      <c r="E138" s="49" t="s">
        <v>232</v>
      </c>
      <c r="F138" s="49"/>
      <c r="G138" s="49" t="s">
        <v>35</v>
      </c>
      <c r="H138" s="50">
        <v>5000</v>
      </c>
      <c r="I138" s="55">
        <v>750</v>
      </c>
      <c r="J138" s="49" t="s">
        <v>36</v>
      </c>
      <c r="K138" s="49" t="s">
        <v>37</v>
      </c>
      <c r="P138" s="4"/>
    </row>
    <row r="139" spans="1:18" ht="15.75" customHeight="1">
      <c r="A139" s="49">
        <v>10</v>
      </c>
      <c r="B139" s="49" t="s">
        <v>426</v>
      </c>
      <c r="C139" s="49" t="s">
        <v>227</v>
      </c>
      <c r="D139" s="49" t="s">
        <v>198</v>
      </c>
      <c r="E139" s="49" t="s">
        <v>199</v>
      </c>
      <c r="F139" s="49"/>
      <c r="G139" s="49" t="s">
        <v>35</v>
      </c>
      <c r="H139" s="50">
        <v>40000</v>
      </c>
      <c r="I139" s="55">
        <v>6000</v>
      </c>
      <c r="J139" s="49" t="s">
        <v>36</v>
      </c>
      <c r="K139" s="49" t="s">
        <v>37</v>
      </c>
      <c r="P139" s="4"/>
      <c r="R139" s="4"/>
    </row>
    <row r="140" spans="1:18" ht="15.75" customHeight="1">
      <c r="A140" s="49">
        <v>10</v>
      </c>
      <c r="B140" s="49" t="s">
        <v>427</v>
      </c>
      <c r="C140" s="49" t="s">
        <v>227</v>
      </c>
      <c r="D140" s="49" t="s">
        <v>428</v>
      </c>
      <c r="E140" s="49" t="s">
        <v>254</v>
      </c>
      <c r="F140" s="49"/>
      <c r="G140" s="49" t="s">
        <v>35</v>
      </c>
      <c r="H140" s="50">
        <v>200</v>
      </c>
      <c r="I140" s="55">
        <v>30</v>
      </c>
      <c r="J140" s="49" t="s">
        <v>36</v>
      </c>
      <c r="K140" s="49" t="s">
        <v>37</v>
      </c>
      <c r="P140" s="4"/>
    </row>
    <row r="141" spans="1:18" ht="15.75" customHeight="1">
      <c r="A141" s="49">
        <v>12</v>
      </c>
      <c r="B141" s="49" t="s">
        <v>429</v>
      </c>
      <c r="C141" s="49" t="s">
        <v>246</v>
      </c>
      <c r="D141" s="49" t="s">
        <v>430</v>
      </c>
      <c r="E141" s="49" t="s">
        <v>75</v>
      </c>
      <c r="F141" s="49"/>
      <c r="G141" s="49" t="s">
        <v>35</v>
      </c>
      <c r="H141" s="50">
        <v>500</v>
      </c>
      <c r="I141" s="55">
        <v>75</v>
      </c>
      <c r="J141" s="49" t="s">
        <v>36</v>
      </c>
      <c r="K141" s="49" t="s">
        <v>37</v>
      </c>
      <c r="P141" s="4"/>
    </row>
    <row r="142" spans="1:18" ht="15.75" customHeight="1">
      <c r="A142" s="49">
        <v>12</v>
      </c>
      <c r="B142" s="49" t="s">
        <v>431</v>
      </c>
      <c r="C142" s="49" t="s">
        <v>246</v>
      </c>
      <c r="D142" s="49" t="s">
        <v>432</v>
      </c>
      <c r="E142" s="49" t="s">
        <v>307</v>
      </c>
      <c r="F142" s="49"/>
      <c r="G142" s="49" t="s">
        <v>35</v>
      </c>
      <c r="H142" s="50">
        <v>200</v>
      </c>
      <c r="I142" s="55">
        <v>30</v>
      </c>
      <c r="J142" s="49" t="s">
        <v>36</v>
      </c>
      <c r="K142" s="49" t="s">
        <v>37</v>
      </c>
      <c r="P142" s="4"/>
    </row>
    <row r="143" spans="1:18" ht="15.75" customHeight="1">
      <c r="A143" s="49">
        <v>12</v>
      </c>
      <c r="B143" s="49" t="s">
        <v>379</v>
      </c>
      <c r="C143" s="49" t="s">
        <v>227</v>
      </c>
      <c r="D143" s="49" t="s">
        <v>380</v>
      </c>
      <c r="E143" s="49" t="s">
        <v>48</v>
      </c>
      <c r="F143" s="49"/>
      <c r="G143" s="49" t="s">
        <v>242</v>
      </c>
      <c r="H143" s="50">
        <v>50</v>
      </c>
      <c r="I143" s="55">
        <v>150</v>
      </c>
      <c r="J143" s="49" t="s">
        <v>36</v>
      </c>
      <c r="K143" s="49" t="s">
        <v>37</v>
      </c>
      <c r="P143" s="4"/>
    </row>
    <row r="144" spans="1:18" ht="15.75" customHeight="1">
      <c r="A144" s="49">
        <v>12</v>
      </c>
      <c r="B144" s="49" t="s">
        <v>433</v>
      </c>
      <c r="C144" s="49" t="s">
        <v>227</v>
      </c>
      <c r="D144" s="49" t="s">
        <v>407</v>
      </c>
      <c r="E144" s="49" t="s">
        <v>307</v>
      </c>
      <c r="F144" s="49"/>
      <c r="G144" s="49" t="s">
        <v>120</v>
      </c>
      <c r="H144" s="50">
        <v>33</v>
      </c>
      <c r="I144" s="55">
        <v>330</v>
      </c>
      <c r="J144" s="49" t="s">
        <v>36</v>
      </c>
      <c r="K144" s="49" t="s">
        <v>37</v>
      </c>
      <c r="P144" s="4"/>
    </row>
    <row r="145" spans="1:18" ht="15.75" customHeight="1">
      <c r="A145" s="49">
        <v>12</v>
      </c>
      <c r="B145" s="49" t="s">
        <v>434</v>
      </c>
      <c r="C145" s="49" t="s">
        <v>246</v>
      </c>
      <c r="D145" s="49" t="s">
        <v>435</v>
      </c>
      <c r="E145" s="49" t="s">
        <v>48</v>
      </c>
      <c r="F145" s="49"/>
      <c r="G145" s="49" t="s">
        <v>35</v>
      </c>
      <c r="H145" s="50">
        <v>200</v>
      </c>
      <c r="I145" s="55">
        <v>30</v>
      </c>
      <c r="J145" s="49" t="s">
        <v>36</v>
      </c>
      <c r="K145" s="49" t="s">
        <v>37</v>
      </c>
      <c r="P145" s="4"/>
    </row>
    <row r="146" spans="1:18" ht="15.75" customHeight="1">
      <c r="A146" s="49">
        <v>12</v>
      </c>
      <c r="B146" s="49" t="s">
        <v>434</v>
      </c>
      <c r="C146" s="49" t="s">
        <v>246</v>
      </c>
      <c r="D146" s="49" t="s">
        <v>435</v>
      </c>
      <c r="E146" s="49" t="s">
        <v>48</v>
      </c>
      <c r="F146" s="49"/>
      <c r="G146" s="49" t="s">
        <v>120</v>
      </c>
      <c r="H146" s="50">
        <v>60</v>
      </c>
      <c r="I146" s="55">
        <v>600</v>
      </c>
      <c r="J146" s="49" t="s">
        <v>36</v>
      </c>
      <c r="K146" s="49" t="s">
        <v>37</v>
      </c>
      <c r="P146" s="4"/>
    </row>
    <row r="147" spans="1:18" ht="15.75" customHeight="1">
      <c r="A147" s="49">
        <v>12</v>
      </c>
      <c r="B147" s="49" t="s">
        <v>436</v>
      </c>
      <c r="C147" s="49" t="s">
        <v>227</v>
      </c>
      <c r="D147" s="49" t="s">
        <v>264</v>
      </c>
      <c r="E147" s="49" t="s">
        <v>199</v>
      </c>
      <c r="F147" s="49"/>
      <c r="G147" s="49" t="s">
        <v>35</v>
      </c>
      <c r="H147" s="50">
        <v>5000</v>
      </c>
      <c r="I147" s="55">
        <v>750</v>
      </c>
      <c r="J147" s="49" t="s">
        <v>36</v>
      </c>
      <c r="K147" s="49" t="s">
        <v>37</v>
      </c>
      <c r="P147" s="4"/>
      <c r="R147" s="4"/>
    </row>
    <row r="148" spans="1:18" ht="15.75" customHeight="1">
      <c r="A148" s="49">
        <v>12</v>
      </c>
      <c r="B148" s="49" t="s">
        <v>437</v>
      </c>
      <c r="C148" s="49" t="s">
        <v>227</v>
      </c>
      <c r="D148" s="49" t="s">
        <v>438</v>
      </c>
      <c r="E148" s="49" t="s">
        <v>241</v>
      </c>
      <c r="F148" s="49"/>
      <c r="G148" s="49" t="s">
        <v>35</v>
      </c>
      <c r="H148" s="50">
        <v>1500</v>
      </c>
      <c r="I148" s="55">
        <v>225</v>
      </c>
      <c r="J148" s="49" t="s">
        <v>36</v>
      </c>
      <c r="K148" s="49" t="s">
        <v>37</v>
      </c>
      <c r="P148" s="4"/>
    </row>
    <row r="149" spans="1:18" ht="15.75" customHeight="1">
      <c r="A149" s="49">
        <v>12</v>
      </c>
      <c r="B149" s="49" t="s">
        <v>437</v>
      </c>
      <c r="C149" s="49" t="s">
        <v>227</v>
      </c>
      <c r="D149" s="49" t="s">
        <v>439</v>
      </c>
      <c r="E149" s="49" t="s">
        <v>241</v>
      </c>
      <c r="F149" s="49"/>
      <c r="G149" s="49" t="s">
        <v>35</v>
      </c>
      <c r="H149" s="50">
        <v>1000</v>
      </c>
      <c r="I149" s="55"/>
      <c r="J149" s="49" t="s">
        <v>43</v>
      </c>
      <c r="K149" s="49" t="s">
        <v>37</v>
      </c>
      <c r="P149" s="4"/>
    </row>
    <row r="150" spans="1:18" ht="15.75" customHeight="1">
      <c r="A150" s="49">
        <v>12</v>
      </c>
      <c r="B150" s="49" t="s">
        <v>440</v>
      </c>
      <c r="C150" s="49" t="s">
        <v>227</v>
      </c>
      <c r="D150" s="49" t="s">
        <v>247</v>
      </c>
      <c r="E150" s="49" t="s">
        <v>248</v>
      </c>
      <c r="F150" s="49"/>
      <c r="G150" s="49" t="s">
        <v>35</v>
      </c>
      <c r="H150" s="50">
        <v>3000</v>
      </c>
      <c r="I150" s="55">
        <v>450</v>
      </c>
      <c r="J150" s="49" t="s">
        <v>36</v>
      </c>
      <c r="K150" s="49" t="s">
        <v>37</v>
      </c>
      <c r="P150" s="4"/>
    </row>
    <row r="151" spans="1:18" ht="15.75" customHeight="1">
      <c r="A151" s="49">
        <v>12</v>
      </c>
      <c r="B151" s="49" t="s">
        <v>441</v>
      </c>
      <c r="C151" s="49" t="s">
        <v>227</v>
      </c>
      <c r="D151" s="49" t="s">
        <v>40</v>
      </c>
      <c r="E151" s="49" t="s">
        <v>232</v>
      </c>
      <c r="F151" s="49"/>
      <c r="G151" s="49" t="s">
        <v>35</v>
      </c>
      <c r="H151" s="50">
        <v>500</v>
      </c>
      <c r="I151" s="55">
        <v>75</v>
      </c>
      <c r="J151" s="49" t="s">
        <v>36</v>
      </c>
      <c r="K151" s="49" t="s">
        <v>37</v>
      </c>
      <c r="P151" s="4"/>
    </row>
    <row r="152" spans="1:18" ht="15.75" customHeight="1">
      <c r="A152" s="49">
        <v>12</v>
      </c>
      <c r="B152" s="49" t="s">
        <v>442</v>
      </c>
      <c r="C152" s="49" t="s">
        <v>227</v>
      </c>
      <c r="D152" s="49"/>
      <c r="E152" s="49" t="s">
        <v>75</v>
      </c>
      <c r="F152" s="49"/>
      <c r="G152" s="49" t="s">
        <v>35</v>
      </c>
      <c r="H152" s="50">
        <v>100</v>
      </c>
      <c r="I152" s="55">
        <v>15</v>
      </c>
      <c r="J152" s="49" t="s">
        <v>36</v>
      </c>
      <c r="K152" s="49" t="s">
        <v>37</v>
      </c>
      <c r="P152" s="4"/>
    </row>
    <row r="153" spans="1:18" ht="15.75" customHeight="1">
      <c r="A153" s="49">
        <v>12</v>
      </c>
      <c r="B153" s="49" t="s">
        <v>442</v>
      </c>
      <c r="C153" s="49" t="s">
        <v>227</v>
      </c>
      <c r="D153" s="49"/>
      <c r="E153" s="49" t="s">
        <v>75</v>
      </c>
      <c r="F153" s="49"/>
      <c r="G153" s="49" t="s">
        <v>120</v>
      </c>
      <c r="H153" s="50">
        <v>250</v>
      </c>
      <c r="I153" s="55">
        <v>2500</v>
      </c>
      <c r="J153" s="49" t="s">
        <v>36</v>
      </c>
      <c r="K153" s="49" t="s">
        <v>37</v>
      </c>
      <c r="P153" s="4"/>
    </row>
    <row r="154" spans="1:18" ht="15.75" customHeight="1">
      <c r="A154" s="49">
        <v>12</v>
      </c>
      <c r="B154" s="49" t="s">
        <v>443</v>
      </c>
      <c r="C154" s="49" t="s">
        <v>227</v>
      </c>
      <c r="D154" s="49" t="s">
        <v>444</v>
      </c>
      <c r="E154" s="49" t="s">
        <v>235</v>
      </c>
      <c r="F154" s="49"/>
      <c r="G154" s="49" t="s">
        <v>35</v>
      </c>
      <c r="H154" s="50">
        <v>800</v>
      </c>
      <c r="I154" s="55">
        <v>120</v>
      </c>
      <c r="J154" s="49" t="s">
        <v>36</v>
      </c>
      <c r="K154" s="49" t="s">
        <v>37</v>
      </c>
      <c r="P154" s="4"/>
    </row>
    <row r="155" spans="1:18" ht="15.75" customHeight="1">
      <c r="A155" s="49">
        <v>12</v>
      </c>
      <c r="B155" s="49" t="s">
        <v>445</v>
      </c>
      <c r="C155" s="49" t="s">
        <v>246</v>
      </c>
      <c r="D155" s="49" t="s">
        <v>446</v>
      </c>
      <c r="E155" s="49" t="s">
        <v>164</v>
      </c>
      <c r="F155" s="49"/>
      <c r="G155" s="49" t="s">
        <v>35</v>
      </c>
      <c r="H155" s="50">
        <v>1500</v>
      </c>
      <c r="I155" s="55">
        <v>225</v>
      </c>
      <c r="J155" s="49" t="s">
        <v>36</v>
      </c>
      <c r="K155" s="49" t="s">
        <v>37</v>
      </c>
      <c r="P155" s="4"/>
    </row>
    <row r="156" spans="1:18" ht="15.75" customHeight="1">
      <c r="A156" s="49">
        <v>12</v>
      </c>
      <c r="B156" s="49" t="s">
        <v>447</v>
      </c>
      <c r="C156" s="49" t="s">
        <v>227</v>
      </c>
      <c r="D156" s="49" t="s">
        <v>448</v>
      </c>
      <c r="E156" s="49" t="s">
        <v>156</v>
      </c>
      <c r="F156" s="49"/>
      <c r="G156" s="49" t="s">
        <v>35</v>
      </c>
      <c r="H156" s="50">
        <v>1500</v>
      </c>
      <c r="I156" s="55">
        <v>225</v>
      </c>
      <c r="J156" s="49" t="s">
        <v>36</v>
      </c>
      <c r="K156" s="49" t="s">
        <v>37</v>
      </c>
      <c r="P156" s="4"/>
    </row>
    <row r="157" spans="1:18" ht="15.75" customHeight="1">
      <c r="A157" s="49">
        <v>13</v>
      </c>
      <c r="B157" s="49" t="s">
        <v>449</v>
      </c>
      <c r="C157" s="49" t="s">
        <v>227</v>
      </c>
      <c r="D157" s="49" t="s">
        <v>450</v>
      </c>
      <c r="E157" s="49" t="s">
        <v>251</v>
      </c>
      <c r="F157" s="49"/>
      <c r="G157" s="49" t="s">
        <v>120</v>
      </c>
      <c r="H157" s="50">
        <v>20</v>
      </c>
      <c r="I157" s="55">
        <v>200</v>
      </c>
      <c r="J157" s="49" t="s">
        <v>36</v>
      </c>
      <c r="K157" s="49" t="s">
        <v>37</v>
      </c>
      <c r="P157" s="4"/>
    </row>
    <row r="158" spans="1:18" ht="15.75" customHeight="1">
      <c r="A158" s="49">
        <v>13</v>
      </c>
      <c r="B158" s="49" t="s">
        <v>451</v>
      </c>
      <c r="C158" s="49" t="s">
        <v>227</v>
      </c>
      <c r="D158" s="49" t="s">
        <v>452</v>
      </c>
      <c r="E158" s="49" t="s">
        <v>48</v>
      </c>
      <c r="F158" s="49"/>
      <c r="G158" s="49" t="s">
        <v>35</v>
      </c>
      <c r="H158" s="50">
        <v>700</v>
      </c>
      <c r="I158" s="55">
        <v>105</v>
      </c>
      <c r="J158" s="49" t="s">
        <v>36</v>
      </c>
      <c r="K158" s="49" t="s">
        <v>37</v>
      </c>
      <c r="P158" s="4"/>
    </row>
    <row r="159" spans="1:18" ht="15.75" customHeight="1">
      <c r="A159" s="49">
        <v>13</v>
      </c>
      <c r="B159" s="49" t="s">
        <v>453</v>
      </c>
      <c r="C159" s="49" t="s">
        <v>227</v>
      </c>
      <c r="D159" s="49" t="s">
        <v>205</v>
      </c>
      <c r="E159" s="49" t="s">
        <v>199</v>
      </c>
      <c r="F159" s="49"/>
      <c r="G159" s="49" t="s">
        <v>35</v>
      </c>
      <c r="H159" s="50">
        <v>3000</v>
      </c>
      <c r="I159" s="55">
        <v>450</v>
      </c>
      <c r="J159" s="49" t="s">
        <v>36</v>
      </c>
      <c r="K159" s="49" t="s">
        <v>37</v>
      </c>
      <c r="P159" s="4"/>
    </row>
    <row r="160" spans="1:18" ht="15.75" customHeight="1">
      <c r="A160" s="49">
        <v>13</v>
      </c>
      <c r="B160" s="49" t="s">
        <v>381</v>
      </c>
      <c r="C160" s="49" t="s">
        <v>227</v>
      </c>
      <c r="D160" s="49" t="s">
        <v>382</v>
      </c>
      <c r="E160" s="49" t="s">
        <v>48</v>
      </c>
      <c r="F160" s="49"/>
      <c r="G160" s="49" t="s">
        <v>120</v>
      </c>
      <c r="H160" s="50">
        <v>100</v>
      </c>
      <c r="I160" s="55">
        <v>1000</v>
      </c>
      <c r="J160" s="49" t="s">
        <v>36</v>
      </c>
      <c r="K160" s="49" t="s">
        <v>37</v>
      </c>
      <c r="P160" s="4"/>
    </row>
    <row r="161" spans="1:16" ht="15.75" customHeight="1">
      <c r="A161" s="49">
        <v>13</v>
      </c>
      <c r="B161" s="49" t="s">
        <v>454</v>
      </c>
      <c r="C161" s="49" t="s">
        <v>227</v>
      </c>
      <c r="D161" s="49" t="s">
        <v>295</v>
      </c>
      <c r="E161" s="49" t="s">
        <v>248</v>
      </c>
      <c r="F161" s="49"/>
      <c r="G161" s="49" t="s">
        <v>35</v>
      </c>
      <c r="H161" s="50">
        <v>2000</v>
      </c>
      <c r="I161" s="55">
        <v>300</v>
      </c>
      <c r="J161" s="49" t="s">
        <v>36</v>
      </c>
      <c r="K161" s="49" t="s">
        <v>37</v>
      </c>
      <c r="P161" s="4"/>
    </row>
    <row r="162" spans="1:16" ht="15.75" customHeight="1">
      <c r="A162" s="49">
        <v>13</v>
      </c>
      <c r="B162" s="49" t="s">
        <v>366</v>
      </c>
      <c r="C162" s="49" t="s">
        <v>227</v>
      </c>
      <c r="D162" s="49" t="s">
        <v>234</v>
      </c>
      <c r="E162" s="49" t="s">
        <v>235</v>
      </c>
      <c r="F162" s="49"/>
      <c r="G162" s="49" t="s">
        <v>35</v>
      </c>
      <c r="H162" s="50">
        <v>1500</v>
      </c>
      <c r="I162" s="55">
        <v>225</v>
      </c>
      <c r="J162" s="49" t="s">
        <v>36</v>
      </c>
      <c r="K162" s="49" t="s">
        <v>37</v>
      </c>
      <c r="P162" s="4"/>
    </row>
    <row r="163" spans="1:16" ht="15.75" customHeight="1">
      <c r="A163" s="49">
        <v>14</v>
      </c>
      <c r="B163" s="49" t="s">
        <v>455</v>
      </c>
      <c r="C163" s="49" t="s">
        <v>246</v>
      </c>
      <c r="D163" s="49" t="s">
        <v>382</v>
      </c>
      <c r="E163" s="49" t="s">
        <v>48</v>
      </c>
      <c r="F163" s="49"/>
      <c r="G163" s="49" t="s">
        <v>120</v>
      </c>
      <c r="H163" s="50">
        <v>3</v>
      </c>
      <c r="I163" s="55">
        <v>30</v>
      </c>
      <c r="J163" s="49" t="s">
        <v>36</v>
      </c>
      <c r="K163" s="49" t="s">
        <v>37</v>
      </c>
      <c r="P163" s="4"/>
    </row>
    <row r="164" spans="1:16" ht="15.75" customHeight="1">
      <c r="A164" s="49">
        <v>14</v>
      </c>
      <c r="B164" s="49" t="s">
        <v>456</v>
      </c>
      <c r="C164" s="49" t="s">
        <v>246</v>
      </c>
      <c r="D164" s="49" t="s">
        <v>40</v>
      </c>
      <c r="E164" s="49" t="s">
        <v>232</v>
      </c>
      <c r="F164" s="49"/>
      <c r="G164" s="49" t="s">
        <v>35</v>
      </c>
      <c r="H164" s="50">
        <v>500</v>
      </c>
      <c r="I164" s="55"/>
      <c r="J164" s="49" t="s">
        <v>43</v>
      </c>
      <c r="K164" s="49" t="s">
        <v>37</v>
      </c>
      <c r="P164" s="4"/>
    </row>
    <row r="165" spans="1:16" ht="15.75" customHeight="1">
      <c r="A165" s="49">
        <v>14</v>
      </c>
      <c r="B165" s="49" t="s">
        <v>457</v>
      </c>
      <c r="C165" s="49" t="s">
        <v>227</v>
      </c>
      <c r="D165" s="49" t="s">
        <v>458</v>
      </c>
      <c r="E165" s="49" t="s">
        <v>251</v>
      </c>
      <c r="F165" s="49"/>
      <c r="G165" s="49" t="s">
        <v>35</v>
      </c>
      <c r="H165" s="50">
        <v>500</v>
      </c>
      <c r="I165" s="55">
        <v>75</v>
      </c>
      <c r="J165" s="49" t="s">
        <v>36</v>
      </c>
      <c r="K165" s="49" t="s">
        <v>37</v>
      </c>
      <c r="P165" s="4"/>
    </row>
    <row r="166" spans="1:16" ht="15.75" customHeight="1">
      <c r="A166" s="49">
        <v>14</v>
      </c>
      <c r="B166" s="49" t="s">
        <v>457</v>
      </c>
      <c r="C166" s="49" t="s">
        <v>227</v>
      </c>
      <c r="D166" s="49" t="s">
        <v>458</v>
      </c>
      <c r="E166" s="49" t="s">
        <v>251</v>
      </c>
      <c r="F166" s="49"/>
      <c r="G166" s="49" t="s">
        <v>120</v>
      </c>
      <c r="H166" s="50">
        <v>10</v>
      </c>
      <c r="I166" s="55">
        <v>100</v>
      </c>
      <c r="J166" s="49" t="s">
        <v>36</v>
      </c>
      <c r="K166" s="49" t="s">
        <v>37</v>
      </c>
      <c r="P166" s="4"/>
    </row>
    <row r="167" spans="1:16" ht="15.75" customHeight="1">
      <c r="A167" s="49">
        <v>14</v>
      </c>
      <c r="B167" s="49" t="s">
        <v>361</v>
      </c>
      <c r="C167" s="49" t="s">
        <v>227</v>
      </c>
      <c r="D167" s="49" t="s">
        <v>362</v>
      </c>
      <c r="E167" s="49" t="s">
        <v>235</v>
      </c>
      <c r="F167" s="49"/>
      <c r="G167" s="49" t="s">
        <v>120</v>
      </c>
      <c r="H167" s="50">
        <v>20</v>
      </c>
      <c r="I167" s="55">
        <v>200</v>
      </c>
      <c r="J167" s="49" t="s">
        <v>36</v>
      </c>
      <c r="K167" s="49" t="s">
        <v>37</v>
      </c>
      <c r="P167" s="4"/>
    </row>
    <row r="168" spans="1:16" ht="15.75" customHeight="1">
      <c r="A168" s="49">
        <v>14</v>
      </c>
      <c r="B168" s="49" t="s">
        <v>459</v>
      </c>
      <c r="C168" s="49" t="s">
        <v>227</v>
      </c>
      <c r="D168" s="49" t="s">
        <v>388</v>
      </c>
      <c r="E168" s="49" t="s">
        <v>164</v>
      </c>
      <c r="F168" s="49"/>
      <c r="G168" s="49" t="s">
        <v>35</v>
      </c>
      <c r="H168" s="50">
        <v>2000</v>
      </c>
      <c r="I168" s="55">
        <v>300</v>
      </c>
      <c r="J168" s="49" t="s">
        <v>36</v>
      </c>
      <c r="K168" s="49" t="s">
        <v>37</v>
      </c>
      <c r="P168" s="4"/>
    </row>
    <row r="169" spans="1:16" ht="15.75" customHeight="1">
      <c r="A169" s="49">
        <v>14</v>
      </c>
      <c r="B169" s="49" t="s">
        <v>460</v>
      </c>
      <c r="C169" s="49" t="s">
        <v>227</v>
      </c>
      <c r="D169" s="49" t="s">
        <v>360</v>
      </c>
      <c r="E169" s="49" t="s">
        <v>48</v>
      </c>
      <c r="F169" s="49"/>
      <c r="G169" s="49" t="s">
        <v>35</v>
      </c>
      <c r="H169" s="50">
        <v>100</v>
      </c>
      <c r="I169" s="55">
        <v>15</v>
      </c>
      <c r="J169" s="49" t="s">
        <v>36</v>
      </c>
      <c r="K169" s="49" t="s">
        <v>37</v>
      </c>
      <c r="P169" s="4"/>
    </row>
    <row r="170" spans="1:16" ht="15.75" customHeight="1">
      <c r="A170" s="49">
        <v>14</v>
      </c>
      <c r="B170" s="49" t="s">
        <v>461</v>
      </c>
      <c r="C170" s="49" t="s">
        <v>227</v>
      </c>
      <c r="D170" s="49" t="s">
        <v>288</v>
      </c>
      <c r="E170" s="49" t="s">
        <v>462</v>
      </c>
      <c r="F170" s="49"/>
      <c r="G170" s="49" t="s">
        <v>35</v>
      </c>
      <c r="H170" s="50">
        <v>10000</v>
      </c>
      <c r="I170" s="55">
        <v>1500</v>
      </c>
      <c r="J170" s="49" t="s">
        <v>36</v>
      </c>
      <c r="K170" s="49" t="s">
        <v>37</v>
      </c>
      <c r="P170" s="4"/>
    </row>
    <row r="171" spans="1:16" ht="15.75" customHeight="1">
      <c r="A171" s="49">
        <v>14</v>
      </c>
      <c r="B171" s="49" t="s">
        <v>463</v>
      </c>
      <c r="C171" s="49" t="s">
        <v>227</v>
      </c>
      <c r="D171" s="49" t="s">
        <v>464</v>
      </c>
      <c r="E171" s="49" t="s">
        <v>251</v>
      </c>
      <c r="F171" s="49"/>
      <c r="G171" s="49" t="s">
        <v>120</v>
      </c>
      <c r="H171" s="50">
        <v>14</v>
      </c>
      <c r="I171" s="55">
        <v>140</v>
      </c>
      <c r="J171" s="49" t="s">
        <v>36</v>
      </c>
      <c r="K171" s="49" t="s">
        <v>37</v>
      </c>
      <c r="P171" s="4"/>
    </row>
    <row r="172" spans="1:16" ht="15.75" customHeight="1">
      <c r="A172" s="49">
        <v>15</v>
      </c>
      <c r="B172" s="49" t="s">
        <v>465</v>
      </c>
      <c r="C172" s="49" t="s">
        <v>227</v>
      </c>
      <c r="D172" s="49" t="s">
        <v>466</v>
      </c>
      <c r="E172" s="49" t="s">
        <v>467</v>
      </c>
      <c r="F172" s="49"/>
      <c r="G172" s="49" t="s">
        <v>120</v>
      </c>
      <c r="H172" s="50">
        <v>50</v>
      </c>
      <c r="I172" s="55">
        <v>500</v>
      </c>
      <c r="J172" s="49" t="s">
        <v>36</v>
      </c>
      <c r="K172" s="49" t="s">
        <v>37</v>
      </c>
      <c r="P172" s="4"/>
    </row>
    <row r="173" spans="1:16" ht="15.75" customHeight="1">
      <c r="A173" s="49">
        <v>15</v>
      </c>
      <c r="B173" s="49" t="s">
        <v>468</v>
      </c>
      <c r="C173" s="49" t="s">
        <v>227</v>
      </c>
      <c r="D173" s="49" t="s">
        <v>231</v>
      </c>
      <c r="E173" s="49" t="s">
        <v>232</v>
      </c>
      <c r="F173" s="49"/>
      <c r="G173" s="49" t="s">
        <v>35</v>
      </c>
      <c r="H173" s="50">
        <v>1500</v>
      </c>
      <c r="I173" s="55">
        <v>225</v>
      </c>
      <c r="J173" s="49" t="s">
        <v>36</v>
      </c>
      <c r="K173" s="49" t="s">
        <v>37</v>
      </c>
      <c r="P173" s="4"/>
    </row>
    <row r="174" spans="1:16" ht="15.75" customHeight="1">
      <c r="A174" s="49">
        <v>15</v>
      </c>
      <c r="B174" s="49" t="s">
        <v>468</v>
      </c>
      <c r="C174" s="49" t="s">
        <v>227</v>
      </c>
      <c r="D174" s="49" t="s">
        <v>231</v>
      </c>
      <c r="E174" s="49" t="s">
        <v>232</v>
      </c>
      <c r="F174" s="49"/>
      <c r="G174" s="49" t="s">
        <v>120</v>
      </c>
      <c r="H174" s="50">
        <v>5</v>
      </c>
      <c r="I174" s="55">
        <v>50</v>
      </c>
      <c r="J174" s="49" t="s">
        <v>36</v>
      </c>
      <c r="K174" s="49" t="s">
        <v>37</v>
      </c>
      <c r="P174" s="4"/>
    </row>
    <row r="175" spans="1:16" ht="15.75" customHeight="1">
      <c r="A175" s="49">
        <v>15</v>
      </c>
      <c r="B175" s="49" t="s">
        <v>469</v>
      </c>
      <c r="C175" s="49" t="s">
        <v>246</v>
      </c>
      <c r="D175" s="49" t="s">
        <v>277</v>
      </c>
      <c r="E175" s="49" t="s">
        <v>232</v>
      </c>
      <c r="F175" s="49"/>
      <c r="G175" s="49" t="s">
        <v>35</v>
      </c>
      <c r="H175" s="50">
        <v>4000</v>
      </c>
      <c r="I175" s="55">
        <v>600</v>
      </c>
      <c r="J175" s="49" t="s">
        <v>36</v>
      </c>
      <c r="K175" s="49" t="s">
        <v>37</v>
      </c>
      <c r="P175" s="4"/>
    </row>
    <row r="176" spans="1:16" ht="15.75" customHeight="1">
      <c r="A176" s="49">
        <v>15</v>
      </c>
      <c r="B176" s="49" t="s">
        <v>470</v>
      </c>
      <c r="C176" s="49" t="s">
        <v>227</v>
      </c>
      <c r="D176" s="49" t="s">
        <v>195</v>
      </c>
      <c r="E176" s="49" t="s">
        <v>80</v>
      </c>
      <c r="F176" s="49"/>
      <c r="G176" s="49" t="s">
        <v>35</v>
      </c>
      <c r="H176" s="50">
        <v>2000</v>
      </c>
      <c r="I176" s="55">
        <v>300</v>
      </c>
      <c r="J176" s="49" t="s">
        <v>36</v>
      </c>
      <c r="K176" s="49" t="s">
        <v>37</v>
      </c>
      <c r="P176" s="4"/>
    </row>
    <row r="177" spans="1:18" ht="15.75" customHeight="1">
      <c r="A177" s="49">
        <v>15</v>
      </c>
      <c r="B177" s="49" t="s">
        <v>471</v>
      </c>
      <c r="C177" s="49" t="s">
        <v>227</v>
      </c>
      <c r="D177" s="49" t="s">
        <v>472</v>
      </c>
      <c r="E177" s="49" t="s">
        <v>48</v>
      </c>
      <c r="F177" s="49"/>
      <c r="G177" s="49" t="s">
        <v>35</v>
      </c>
      <c r="H177" s="50">
        <v>700</v>
      </c>
      <c r="I177" s="55">
        <v>105</v>
      </c>
      <c r="J177" s="49" t="s">
        <v>36</v>
      </c>
      <c r="K177" s="49" t="s">
        <v>37</v>
      </c>
      <c r="P177" s="4"/>
    </row>
    <row r="178" spans="1:18" ht="15.75" customHeight="1">
      <c r="A178" s="49">
        <v>15</v>
      </c>
      <c r="B178" s="49" t="s">
        <v>473</v>
      </c>
      <c r="C178" s="49" t="s">
        <v>227</v>
      </c>
      <c r="D178" s="49" t="s">
        <v>474</v>
      </c>
      <c r="E178" s="49" t="s">
        <v>84</v>
      </c>
      <c r="F178" s="49"/>
      <c r="G178" s="49" t="s">
        <v>120</v>
      </c>
      <c r="H178" s="50">
        <v>30</v>
      </c>
      <c r="I178" s="55">
        <v>300</v>
      </c>
      <c r="J178" s="49" t="s">
        <v>36</v>
      </c>
      <c r="K178" s="49" t="s">
        <v>37</v>
      </c>
      <c r="P178" s="4"/>
    </row>
    <row r="179" spans="1:18" ht="15.75" customHeight="1">
      <c r="A179" s="49">
        <v>15</v>
      </c>
      <c r="B179" s="49" t="s">
        <v>475</v>
      </c>
      <c r="C179" s="49" t="s">
        <v>227</v>
      </c>
      <c r="D179" s="49" t="s">
        <v>476</v>
      </c>
      <c r="E179" s="49" t="s">
        <v>254</v>
      </c>
      <c r="F179" s="49"/>
      <c r="G179" s="49" t="s">
        <v>35</v>
      </c>
      <c r="H179" s="50">
        <v>200</v>
      </c>
      <c r="I179" s="55">
        <v>30</v>
      </c>
      <c r="J179" s="49" t="s">
        <v>36</v>
      </c>
      <c r="K179" s="49" t="s">
        <v>37</v>
      </c>
      <c r="P179" s="4"/>
    </row>
    <row r="180" spans="1:18" ht="15.75" customHeight="1">
      <c r="A180" s="49">
        <v>16</v>
      </c>
      <c r="B180" s="49" t="s">
        <v>477</v>
      </c>
      <c r="C180" s="49" t="s">
        <v>246</v>
      </c>
      <c r="D180" s="49" t="s">
        <v>264</v>
      </c>
      <c r="E180" s="49" t="s">
        <v>184</v>
      </c>
      <c r="F180" s="49"/>
      <c r="G180" s="49" t="s">
        <v>35</v>
      </c>
      <c r="H180" s="50">
        <v>15000</v>
      </c>
      <c r="I180" s="55">
        <v>2250</v>
      </c>
      <c r="J180" s="49" t="s">
        <v>36</v>
      </c>
      <c r="K180" s="49" t="s">
        <v>37</v>
      </c>
      <c r="P180" s="4"/>
    </row>
    <row r="181" spans="1:18" ht="15.75" customHeight="1">
      <c r="A181" s="49">
        <v>16</v>
      </c>
      <c r="B181" s="49" t="s">
        <v>478</v>
      </c>
      <c r="C181" s="49" t="s">
        <v>227</v>
      </c>
      <c r="D181" s="49" t="s">
        <v>277</v>
      </c>
      <c r="E181" s="49" t="s">
        <v>232</v>
      </c>
      <c r="F181" s="49"/>
      <c r="G181" s="49" t="s">
        <v>35</v>
      </c>
      <c r="H181" s="50">
        <v>3000</v>
      </c>
      <c r="I181" s="55">
        <v>450</v>
      </c>
      <c r="J181" s="49" t="s">
        <v>36</v>
      </c>
      <c r="K181" s="49" t="s">
        <v>37</v>
      </c>
      <c r="P181" s="4"/>
    </row>
    <row r="182" spans="1:18" ht="15.75" customHeight="1">
      <c r="A182" s="49">
        <v>16</v>
      </c>
      <c r="B182" s="49" t="s">
        <v>479</v>
      </c>
      <c r="C182" s="49" t="s">
        <v>246</v>
      </c>
      <c r="D182" s="49" t="s">
        <v>32</v>
      </c>
      <c r="E182" s="49" t="s">
        <v>164</v>
      </c>
      <c r="F182" s="49"/>
      <c r="G182" s="49" t="s">
        <v>35</v>
      </c>
      <c r="H182" s="50">
        <v>20000</v>
      </c>
      <c r="I182" s="55">
        <v>3000</v>
      </c>
      <c r="J182" s="49" t="s">
        <v>36</v>
      </c>
      <c r="K182" s="49" t="s">
        <v>37</v>
      </c>
      <c r="P182" s="4"/>
    </row>
    <row r="183" spans="1:18" ht="15.75" customHeight="1">
      <c r="A183" s="49">
        <v>16</v>
      </c>
      <c r="B183" s="49" t="s">
        <v>480</v>
      </c>
      <c r="C183" s="49" t="s">
        <v>227</v>
      </c>
      <c r="D183" s="49" t="s">
        <v>332</v>
      </c>
      <c r="E183" s="49" t="s">
        <v>193</v>
      </c>
      <c r="F183" s="49"/>
      <c r="G183" s="49" t="s">
        <v>35</v>
      </c>
      <c r="H183" s="50">
        <v>20000</v>
      </c>
      <c r="I183" s="55">
        <v>3000</v>
      </c>
      <c r="J183" s="49" t="s">
        <v>36</v>
      </c>
      <c r="K183" s="49" t="s">
        <v>37</v>
      </c>
      <c r="P183" s="4"/>
      <c r="R183" s="4"/>
    </row>
    <row r="184" spans="1:18" ht="15.75" customHeight="1">
      <c r="A184" s="49">
        <v>17</v>
      </c>
      <c r="B184" s="49" t="s">
        <v>481</v>
      </c>
      <c r="C184" s="49" t="s">
        <v>227</v>
      </c>
      <c r="D184" s="49" t="s">
        <v>277</v>
      </c>
      <c r="E184" s="49" t="s">
        <v>232</v>
      </c>
      <c r="F184" s="49"/>
      <c r="G184" s="49" t="s">
        <v>35</v>
      </c>
      <c r="H184" s="50">
        <v>2100</v>
      </c>
      <c r="I184" s="55">
        <v>315</v>
      </c>
      <c r="J184" s="49" t="s">
        <v>36</v>
      </c>
      <c r="K184" s="49" t="s">
        <v>37</v>
      </c>
      <c r="P184" s="4"/>
    </row>
    <row r="185" spans="1:18" ht="15.75" customHeight="1">
      <c r="A185" s="49">
        <v>17</v>
      </c>
      <c r="B185" s="49" t="s">
        <v>481</v>
      </c>
      <c r="C185" s="49" t="s">
        <v>227</v>
      </c>
      <c r="D185" s="49" t="s">
        <v>277</v>
      </c>
      <c r="E185" s="49" t="s">
        <v>232</v>
      </c>
      <c r="F185" s="49"/>
      <c r="G185" s="49" t="s">
        <v>35</v>
      </c>
      <c r="H185" s="50">
        <v>500</v>
      </c>
      <c r="I185" s="55"/>
      <c r="J185" s="49" t="s">
        <v>43</v>
      </c>
      <c r="K185" s="49" t="s">
        <v>37</v>
      </c>
      <c r="P185" s="4"/>
    </row>
    <row r="186" spans="1:18" ht="15.75" customHeight="1">
      <c r="A186" s="49">
        <v>17</v>
      </c>
      <c r="B186" s="49" t="s">
        <v>482</v>
      </c>
      <c r="C186" s="49" t="s">
        <v>227</v>
      </c>
      <c r="D186" s="49" t="s">
        <v>385</v>
      </c>
      <c r="E186" s="49" t="s">
        <v>386</v>
      </c>
      <c r="F186" s="49"/>
      <c r="G186" s="49" t="s">
        <v>35</v>
      </c>
      <c r="H186" s="50">
        <v>2000</v>
      </c>
      <c r="I186" s="55">
        <v>300</v>
      </c>
      <c r="J186" s="49" t="s">
        <v>36</v>
      </c>
      <c r="K186" s="49" t="s">
        <v>37</v>
      </c>
      <c r="P186" s="4"/>
    </row>
    <row r="187" spans="1:18" ht="15.75" customHeight="1">
      <c r="A187" s="49">
        <v>18</v>
      </c>
      <c r="B187" s="49" t="s">
        <v>483</v>
      </c>
      <c r="C187" s="49" t="s">
        <v>227</v>
      </c>
      <c r="D187" s="49" t="s">
        <v>205</v>
      </c>
      <c r="E187" s="49" t="s">
        <v>199</v>
      </c>
      <c r="F187" s="49"/>
      <c r="G187" s="49" t="s">
        <v>120</v>
      </c>
      <c r="H187" s="50">
        <v>100</v>
      </c>
      <c r="I187" s="55">
        <v>1000</v>
      </c>
      <c r="J187" s="49" t="s">
        <v>36</v>
      </c>
      <c r="K187" s="49" t="s">
        <v>37</v>
      </c>
      <c r="P187" s="4"/>
    </row>
    <row r="188" spans="1:18" ht="15.75" customHeight="1">
      <c r="A188" s="49">
        <v>18</v>
      </c>
      <c r="B188" s="49" t="s">
        <v>484</v>
      </c>
      <c r="C188" s="49" t="s">
        <v>246</v>
      </c>
      <c r="D188" s="49" t="s">
        <v>485</v>
      </c>
      <c r="E188" s="49" t="s">
        <v>254</v>
      </c>
      <c r="F188" s="49"/>
      <c r="G188" s="49" t="s">
        <v>120</v>
      </c>
      <c r="H188" s="50">
        <v>50</v>
      </c>
      <c r="I188" s="55">
        <v>500</v>
      </c>
      <c r="J188" s="49" t="s">
        <v>36</v>
      </c>
      <c r="K188" s="49" t="s">
        <v>37</v>
      </c>
      <c r="P188" s="4"/>
    </row>
    <row r="189" spans="1:18" ht="15.75" customHeight="1">
      <c r="A189" s="49">
        <v>18</v>
      </c>
      <c r="B189" s="49" t="s">
        <v>486</v>
      </c>
      <c r="C189" s="49" t="s">
        <v>227</v>
      </c>
      <c r="D189" s="49" t="s">
        <v>487</v>
      </c>
      <c r="E189" s="49" t="s">
        <v>321</v>
      </c>
      <c r="F189" s="49"/>
      <c r="G189" s="49" t="s">
        <v>35</v>
      </c>
      <c r="H189" s="50">
        <v>1000</v>
      </c>
      <c r="I189" s="55">
        <v>150</v>
      </c>
      <c r="J189" s="49" t="s">
        <v>36</v>
      </c>
      <c r="K189" s="49" t="s">
        <v>37</v>
      </c>
      <c r="P189" s="4"/>
    </row>
    <row r="190" spans="1:18" ht="15.75" customHeight="1">
      <c r="A190" s="49">
        <v>18</v>
      </c>
      <c r="B190" s="49" t="s">
        <v>488</v>
      </c>
      <c r="C190" s="49" t="s">
        <v>227</v>
      </c>
      <c r="D190" s="49" t="s">
        <v>32</v>
      </c>
      <c r="E190" s="49" t="s">
        <v>241</v>
      </c>
      <c r="F190" s="49"/>
      <c r="G190" s="49" t="s">
        <v>35</v>
      </c>
      <c r="H190" s="50">
        <v>4000</v>
      </c>
      <c r="I190" s="55">
        <v>600</v>
      </c>
      <c r="J190" s="49" t="s">
        <v>36</v>
      </c>
      <c r="K190" s="49" t="s">
        <v>37</v>
      </c>
      <c r="P190" s="4"/>
    </row>
    <row r="191" spans="1:18" ht="15.75" customHeight="1">
      <c r="A191" s="49">
        <v>18</v>
      </c>
      <c r="B191" s="49" t="s">
        <v>489</v>
      </c>
      <c r="C191" s="49" t="s">
        <v>227</v>
      </c>
      <c r="D191" s="49" t="s">
        <v>490</v>
      </c>
      <c r="E191" s="49" t="s">
        <v>251</v>
      </c>
      <c r="F191" s="49"/>
      <c r="G191" s="49" t="s">
        <v>35</v>
      </c>
      <c r="H191" s="50">
        <v>400</v>
      </c>
      <c r="I191" s="55">
        <v>60</v>
      </c>
      <c r="J191" s="49" t="s">
        <v>36</v>
      </c>
      <c r="K191" s="49" t="s">
        <v>37</v>
      </c>
      <c r="P191" s="4"/>
    </row>
    <row r="192" spans="1:18" ht="15.75" customHeight="1">
      <c r="A192" s="49">
        <v>19</v>
      </c>
      <c r="B192" s="49" t="s">
        <v>491</v>
      </c>
      <c r="C192" s="49" t="s">
        <v>227</v>
      </c>
      <c r="D192" s="49" t="s">
        <v>198</v>
      </c>
      <c r="E192" s="49" t="s">
        <v>199</v>
      </c>
      <c r="F192" s="49"/>
      <c r="G192" s="49" t="s">
        <v>120</v>
      </c>
      <c r="H192" s="50">
        <v>50</v>
      </c>
      <c r="I192" s="55">
        <v>500</v>
      </c>
      <c r="J192" s="49" t="s">
        <v>36</v>
      </c>
      <c r="K192" s="49" t="s">
        <v>37</v>
      </c>
      <c r="P192" s="4"/>
    </row>
    <row r="193" spans="1:18" ht="15.75" customHeight="1">
      <c r="A193" s="49">
        <v>19</v>
      </c>
      <c r="B193" s="49" t="s">
        <v>492</v>
      </c>
      <c r="C193" s="49" t="s">
        <v>227</v>
      </c>
      <c r="D193" s="49" t="s">
        <v>326</v>
      </c>
      <c r="E193" s="49" t="s">
        <v>307</v>
      </c>
      <c r="F193" s="49"/>
      <c r="G193" s="49" t="s">
        <v>120</v>
      </c>
      <c r="H193" s="50">
        <v>20</v>
      </c>
      <c r="I193" s="55">
        <v>200</v>
      </c>
      <c r="J193" s="49" t="s">
        <v>36</v>
      </c>
      <c r="K193" s="49" t="s">
        <v>37</v>
      </c>
      <c r="P193" s="4"/>
    </row>
    <row r="194" spans="1:18" ht="15.75" customHeight="1">
      <c r="A194" s="49">
        <v>19</v>
      </c>
      <c r="B194" s="49" t="s">
        <v>493</v>
      </c>
      <c r="C194" s="49" t="s">
        <v>227</v>
      </c>
      <c r="D194" s="49" t="s">
        <v>264</v>
      </c>
      <c r="E194" s="49" t="s">
        <v>184</v>
      </c>
      <c r="F194" s="49"/>
      <c r="G194" s="49" t="s">
        <v>120</v>
      </c>
      <c r="H194" s="50">
        <v>14</v>
      </c>
      <c r="I194" s="55">
        <v>140</v>
      </c>
      <c r="J194" s="49" t="s">
        <v>36</v>
      </c>
      <c r="K194" s="49" t="s">
        <v>37</v>
      </c>
      <c r="P194" s="4"/>
    </row>
    <row r="195" spans="1:18" ht="15.75" customHeight="1">
      <c r="A195" s="49">
        <v>19</v>
      </c>
      <c r="B195" s="49" t="s">
        <v>493</v>
      </c>
      <c r="C195" s="49" t="s">
        <v>227</v>
      </c>
      <c r="D195" s="49" t="s">
        <v>264</v>
      </c>
      <c r="E195" s="49" t="s">
        <v>184</v>
      </c>
      <c r="F195" s="49"/>
      <c r="G195" s="49" t="s">
        <v>242</v>
      </c>
      <c r="H195" s="50">
        <v>10</v>
      </c>
      <c r="I195" s="55">
        <v>30</v>
      </c>
      <c r="J195" s="49" t="s">
        <v>36</v>
      </c>
      <c r="K195" s="49" t="s">
        <v>37</v>
      </c>
      <c r="P195" s="4"/>
    </row>
    <row r="196" spans="1:18" ht="15.75" customHeight="1">
      <c r="A196" s="49">
        <v>19</v>
      </c>
      <c r="B196" s="49" t="s">
        <v>494</v>
      </c>
      <c r="C196" s="49" t="s">
        <v>227</v>
      </c>
      <c r="D196" s="49" t="s">
        <v>495</v>
      </c>
      <c r="E196" s="49" t="s">
        <v>199</v>
      </c>
      <c r="F196" s="49"/>
      <c r="G196" s="49" t="s">
        <v>35</v>
      </c>
      <c r="H196" s="50">
        <v>400</v>
      </c>
      <c r="I196" s="55">
        <v>60</v>
      </c>
      <c r="J196" s="49" t="s">
        <v>36</v>
      </c>
      <c r="K196" s="49" t="s">
        <v>37</v>
      </c>
      <c r="P196" s="4"/>
    </row>
    <row r="197" spans="1:18" ht="15.75" customHeight="1">
      <c r="A197" s="49">
        <v>19</v>
      </c>
      <c r="B197" s="49" t="s">
        <v>494</v>
      </c>
      <c r="C197" s="49" t="s">
        <v>227</v>
      </c>
      <c r="D197" s="49" t="s">
        <v>495</v>
      </c>
      <c r="E197" s="49" t="s">
        <v>199</v>
      </c>
      <c r="F197" s="49"/>
      <c r="G197" s="49" t="s">
        <v>120</v>
      </c>
      <c r="H197" s="50">
        <v>14</v>
      </c>
      <c r="I197" s="55">
        <v>140</v>
      </c>
      <c r="J197" s="49" t="s">
        <v>36</v>
      </c>
      <c r="K197" s="49" t="s">
        <v>37</v>
      </c>
      <c r="P197" s="4"/>
    </row>
    <row r="198" spans="1:18" ht="15.75" customHeight="1">
      <c r="A198" s="49">
        <v>20</v>
      </c>
      <c r="B198" s="49" t="s">
        <v>496</v>
      </c>
      <c r="C198" s="49" t="s">
        <v>227</v>
      </c>
      <c r="D198" s="49" t="s">
        <v>497</v>
      </c>
      <c r="E198" s="49" t="s">
        <v>193</v>
      </c>
      <c r="F198" s="49"/>
      <c r="G198" s="49" t="s">
        <v>35</v>
      </c>
      <c r="H198" s="50">
        <v>30000</v>
      </c>
      <c r="I198" s="55">
        <v>4500</v>
      </c>
      <c r="J198" s="49" t="s">
        <v>36</v>
      </c>
      <c r="K198" s="49" t="s">
        <v>37</v>
      </c>
      <c r="P198" s="4"/>
      <c r="R198" s="4"/>
    </row>
    <row r="199" spans="1:18" ht="15.75" customHeight="1">
      <c r="A199" s="49">
        <v>20</v>
      </c>
      <c r="B199" s="49" t="s">
        <v>498</v>
      </c>
      <c r="C199" s="49" t="s">
        <v>227</v>
      </c>
      <c r="D199" s="49" t="s">
        <v>499</v>
      </c>
      <c r="E199" s="49" t="s">
        <v>323</v>
      </c>
      <c r="F199" s="49"/>
      <c r="G199" s="49" t="s">
        <v>35</v>
      </c>
      <c r="H199" s="50">
        <v>1000</v>
      </c>
      <c r="I199" s="55">
        <v>150</v>
      </c>
      <c r="J199" s="49" t="s">
        <v>36</v>
      </c>
      <c r="K199" s="49" t="s">
        <v>37</v>
      </c>
      <c r="P199" s="4"/>
    </row>
    <row r="200" spans="1:18" ht="15.75" customHeight="1">
      <c r="A200" s="49">
        <v>20</v>
      </c>
      <c r="B200" s="49" t="s">
        <v>500</v>
      </c>
      <c r="C200" s="49" t="s">
        <v>246</v>
      </c>
      <c r="D200" s="49" t="s">
        <v>290</v>
      </c>
      <c r="E200" s="49" t="s">
        <v>232</v>
      </c>
      <c r="F200" s="49"/>
      <c r="G200" s="49" t="s">
        <v>35</v>
      </c>
      <c r="H200" s="50">
        <v>500</v>
      </c>
      <c r="I200" s="55">
        <v>75</v>
      </c>
      <c r="J200" s="49" t="s">
        <v>36</v>
      </c>
      <c r="K200" s="49" t="s">
        <v>37</v>
      </c>
      <c r="P200" s="4"/>
    </row>
    <row r="201" spans="1:18" ht="15.75" customHeight="1">
      <c r="A201" s="49">
        <v>20</v>
      </c>
      <c r="B201" s="49" t="s">
        <v>492</v>
      </c>
      <c r="C201" s="49" t="s">
        <v>227</v>
      </c>
      <c r="D201" s="49" t="s">
        <v>326</v>
      </c>
      <c r="E201" s="49" t="s">
        <v>307</v>
      </c>
      <c r="F201" s="49"/>
      <c r="G201" s="49" t="s">
        <v>120</v>
      </c>
      <c r="H201" s="50">
        <v>20</v>
      </c>
      <c r="I201" s="55">
        <v>200</v>
      </c>
      <c r="J201" s="49" t="s">
        <v>36</v>
      </c>
      <c r="K201" s="49" t="s">
        <v>37</v>
      </c>
      <c r="P201" s="4"/>
    </row>
    <row r="202" spans="1:18" ht="15.75" customHeight="1">
      <c r="A202" s="49">
        <v>20</v>
      </c>
      <c r="B202" s="49" t="s">
        <v>501</v>
      </c>
      <c r="C202" s="49" t="s">
        <v>227</v>
      </c>
      <c r="D202" s="49" t="s">
        <v>33</v>
      </c>
      <c r="E202" s="49" t="s">
        <v>307</v>
      </c>
      <c r="F202" s="49"/>
      <c r="G202" s="49" t="s">
        <v>120</v>
      </c>
      <c r="H202" s="50">
        <v>14</v>
      </c>
      <c r="I202" s="55">
        <v>140</v>
      </c>
      <c r="J202" s="49" t="s">
        <v>36</v>
      </c>
      <c r="K202" s="49" t="s">
        <v>37</v>
      </c>
      <c r="P202" s="4"/>
    </row>
    <row r="203" spans="1:18" ht="15.75" customHeight="1">
      <c r="A203" s="49">
        <v>20</v>
      </c>
      <c r="B203" s="49" t="s">
        <v>502</v>
      </c>
      <c r="C203" s="49" t="s">
        <v>227</v>
      </c>
      <c r="D203" s="49" t="s">
        <v>413</v>
      </c>
      <c r="E203" s="49" t="s">
        <v>251</v>
      </c>
      <c r="F203" s="49"/>
      <c r="G203" s="49" t="s">
        <v>35</v>
      </c>
      <c r="H203" s="50">
        <v>300</v>
      </c>
      <c r="I203" s="55">
        <v>45</v>
      </c>
      <c r="J203" s="49" t="s">
        <v>36</v>
      </c>
      <c r="K203" s="49" t="s">
        <v>37</v>
      </c>
      <c r="P203" s="4"/>
    </row>
    <row r="204" spans="1:18" ht="15.75" customHeight="1">
      <c r="A204" s="49">
        <v>20</v>
      </c>
      <c r="B204" s="49" t="s">
        <v>503</v>
      </c>
      <c r="C204" s="49" t="s">
        <v>227</v>
      </c>
      <c r="D204" s="49" t="s">
        <v>385</v>
      </c>
      <c r="E204" s="49" t="s">
        <v>232</v>
      </c>
      <c r="F204" s="49"/>
      <c r="G204" s="49" t="s">
        <v>35</v>
      </c>
      <c r="H204" s="50">
        <v>500</v>
      </c>
      <c r="I204" s="55"/>
      <c r="J204" s="49" t="s">
        <v>43</v>
      </c>
      <c r="K204" s="49" t="s">
        <v>37</v>
      </c>
      <c r="P204" s="4"/>
    </row>
    <row r="205" spans="1:18" ht="15.75" customHeight="1">
      <c r="A205" s="49">
        <v>20</v>
      </c>
      <c r="B205" s="49" t="s">
        <v>504</v>
      </c>
      <c r="C205" s="49" t="s">
        <v>227</v>
      </c>
      <c r="D205" s="49" t="s">
        <v>505</v>
      </c>
      <c r="E205" s="49" t="s">
        <v>235</v>
      </c>
      <c r="F205" s="49"/>
      <c r="G205" s="49" t="s">
        <v>35</v>
      </c>
      <c r="H205" s="50">
        <v>100</v>
      </c>
      <c r="I205" s="55">
        <v>15</v>
      </c>
      <c r="J205" s="49" t="s">
        <v>36</v>
      </c>
      <c r="K205" s="49" t="s">
        <v>37</v>
      </c>
      <c r="P205" s="4"/>
    </row>
    <row r="206" spans="1:18" ht="15.75" customHeight="1">
      <c r="A206" s="49">
        <v>20</v>
      </c>
      <c r="B206" s="49" t="s">
        <v>504</v>
      </c>
      <c r="C206" s="49" t="s">
        <v>227</v>
      </c>
      <c r="D206" s="49" t="s">
        <v>505</v>
      </c>
      <c r="E206" s="49" t="s">
        <v>235</v>
      </c>
      <c r="F206" s="49"/>
      <c r="G206" s="49" t="s">
        <v>242</v>
      </c>
      <c r="H206" s="50">
        <v>25</v>
      </c>
      <c r="I206" s="55">
        <v>75</v>
      </c>
      <c r="J206" s="49" t="s">
        <v>36</v>
      </c>
      <c r="K206" s="49" t="s">
        <v>37</v>
      </c>
      <c r="P206" s="4"/>
    </row>
    <row r="207" spans="1:18" ht="15.75" customHeight="1">
      <c r="A207" s="49">
        <v>20</v>
      </c>
      <c r="B207" s="49" t="s">
        <v>506</v>
      </c>
      <c r="C207" s="49" t="s">
        <v>227</v>
      </c>
      <c r="D207" s="49" t="s">
        <v>32</v>
      </c>
      <c r="E207" s="49" t="s">
        <v>507</v>
      </c>
      <c r="F207" s="49"/>
      <c r="G207" s="49" t="s">
        <v>35</v>
      </c>
      <c r="H207" s="50">
        <v>2000</v>
      </c>
      <c r="I207" s="55">
        <v>300</v>
      </c>
      <c r="J207" s="49" t="s">
        <v>36</v>
      </c>
      <c r="K207" s="49" t="s">
        <v>37</v>
      </c>
      <c r="P207" s="4"/>
    </row>
    <row r="208" spans="1:18" ht="15.75" customHeight="1">
      <c r="A208" s="49">
        <v>21</v>
      </c>
      <c r="B208" s="49" t="s">
        <v>508</v>
      </c>
      <c r="C208" s="49" t="s">
        <v>227</v>
      </c>
      <c r="D208" s="49" t="s">
        <v>33</v>
      </c>
      <c r="E208" s="49" t="s">
        <v>199</v>
      </c>
      <c r="F208" s="49"/>
      <c r="G208" s="49" t="s">
        <v>35</v>
      </c>
      <c r="H208" s="50">
        <v>30000</v>
      </c>
      <c r="I208" s="55">
        <v>4500</v>
      </c>
      <c r="J208" s="49" t="s">
        <v>36</v>
      </c>
      <c r="K208" s="49" t="s">
        <v>37</v>
      </c>
      <c r="P208" s="4"/>
    </row>
    <row r="209" spans="1:16" ht="15.75" customHeight="1">
      <c r="A209" s="49">
        <v>21</v>
      </c>
      <c r="B209" s="49" t="s">
        <v>509</v>
      </c>
      <c r="C209" s="49" t="s">
        <v>246</v>
      </c>
      <c r="D209" s="49" t="s">
        <v>277</v>
      </c>
      <c r="E209" s="49" t="s">
        <v>232</v>
      </c>
      <c r="F209" s="49"/>
      <c r="G209" s="49" t="s">
        <v>35</v>
      </c>
      <c r="H209" s="50">
        <v>2500</v>
      </c>
      <c r="I209" s="55">
        <v>375</v>
      </c>
      <c r="J209" s="49" t="s">
        <v>36</v>
      </c>
      <c r="K209" s="49" t="s">
        <v>37</v>
      </c>
      <c r="P209" s="4"/>
    </row>
    <row r="210" spans="1:16" ht="15.75" customHeight="1">
      <c r="A210" s="49">
        <v>21</v>
      </c>
      <c r="B210" s="49" t="s">
        <v>510</v>
      </c>
      <c r="C210" s="49" t="s">
        <v>227</v>
      </c>
      <c r="D210" s="49" t="s">
        <v>511</v>
      </c>
      <c r="E210" s="49" t="s">
        <v>321</v>
      </c>
      <c r="F210" s="49"/>
      <c r="G210" s="49" t="s">
        <v>35</v>
      </c>
      <c r="H210" s="50">
        <v>2000</v>
      </c>
      <c r="I210" s="55">
        <v>300</v>
      </c>
      <c r="J210" s="49" t="s">
        <v>36</v>
      </c>
      <c r="K210" s="49" t="s">
        <v>37</v>
      </c>
      <c r="P210" s="4"/>
    </row>
    <row r="211" spans="1:16" ht="15.75" customHeight="1">
      <c r="A211" s="49">
        <v>21</v>
      </c>
      <c r="B211" s="49" t="s">
        <v>510</v>
      </c>
      <c r="C211" s="49" t="s">
        <v>227</v>
      </c>
      <c r="D211" s="49" t="s">
        <v>511</v>
      </c>
      <c r="E211" s="49" t="s">
        <v>321</v>
      </c>
      <c r="F211" s="49"/>
      <c r="G211" s="49" t="s">
        <v>35</v>
      </c>
      <c r="H211" s="50">
        <v>500</v>
      </c>
      <c r="I211" s="55"/>
      <c r="J211" s="49" t="s">
        <v>43</v>
      </c>
      <c r="K211" s="49" t="s">
        <v>37</v>
      </c>
      <c r="P211" s="4"/>
    </row>
    <row r="212" spans="1:16" ht="15.75" customHeight="1">
      <c r="A212" s="49">
        <v>21</v>
      </c>
      <c r="B212" s="49" t="s">
        <v>512</v>
      </c>
      <c r="C212" s="49" t="s">
        <v>246</v>
      </c>
      <c r="D212" s="49" t="s">
        <v>513</v>
      </c>
      <c r="E212" s="49" t="s">
        <v>248</v>
      </c>
      <c r="F212" s="49"/>
      <c r="G212" s="49" t="s">
        <v>35</v>
      </c>
      <c r="H212" s="50">
        <v>1500</v>
      </c>
      <c r="I212" s="55">
        <v>225</v>
      </c>
      <c r="J212" s="49" t="s">
        <v>36</v>
      </c>
      <c r="K212" s="49" t="s">
        <v>37</v>
      </c>
      <c r="P212" s="4"/>
    </row>
    <row r="213" spans="1:16" ht="15.75" customHeight="1">
      <c r="A213" s="49">
        <v>21</v>
      </c>
      <c r="B213" s="49" t="s">
        <v>514</v>
      </c>
      <c r="C213" s="49" t="s">
        <v>246</v>
      </c>
      <c r="D213" s="49" t="s">
        <v>515</v>
      </c>
      <c r="E213" s="49" t="s">
        <v>164</v>
      </c>
      <c r="F213" s="49"/>
      <c r="G213" s="49" t="s">
        <v>35</v>
      </c>
      <c r="H213" s="50">
        <v>300</v>
      </c>
      <c r="I213" s="55">
        <v>45</v>
      </c>
      <c r="J213" s="49" t="s">
        <v>36</v>
      </c>
      <c r="K213" s="49" t="s">
        <v>37</v>
      </c>
      <c r="P213" s="4"/>
    </row>
    <row r="214" spans="1:16" ht="15.75" customHeight="1">
      <c r="A214" s="49">
        <v>21</v>
      </c>
      <c r="B214" s="49" t="s">
        <v>516</v>
      </c>
      <c r="C214" s="49" t="s">
        <v>246</v>
      </c>
      <c r="D214" s="49" t="s">
        <v>517</v>
      </c>
      <c r="E214" s="49" t="s">
        <v>232</v>
      </c>
      <c r="F214" s="49"/>
      <c r="G214" s="49" t="s">
        <v>35</v>
      </c>
      <c r="H214" s="50">
        <v>2000</v>
      </c>
      <c r="I214" s="55">
        <v>300</v>
      </c>
      <c r="J214" s="49" t="s">
        <v>36</v>
      </c>
      <c r="K214" s="49" t="s">
        <v>37</v>
      </c>
      <c r="P214" s="4"/>
    </row>
    <row r="215" spans="1:16" ht="15.75" customHeight="1">
      <c r="A215" s="49">
        <v>21</v>
      </c>
      <c r="B215" s="49" t="s">
        <v>518</v>
      </c>
      <c r="C215" s="49" t="s">
        <v>227</v>
      </c>
      <c r="D215" s="49" t="s">
        <v>231</v>
      </c>
      <c r="E215" s="49" t="s">
        <v>232</v>
      </c>
      <c r="F215" s="49"/>
      <c r="G215" s="49" t="s">
        <v>35</v>
      </c>
      <c r="H215" s="50">
        <v>1500</v>
      </c>
      <c r="I215" s="55">
        <v>225</v>
      </c>
      <c r="J215" s="49" t="s">
        <v>36</v>
      </c>
      <c r="K215" s="49" t="s">
        <v>37</v>
      </c>
      <c r="P215" s="4"/>
    </row>
    <row r="216" spans="1:16" ht="15.75" customHeight="1">
      <c r="A216" s="49">
        <v>21</v>
      </c>
      <c r="B216" s="49" t="s">
        <v>518</v>
      </c>
      <c r="C216" s="49" t="s">
        <v>227</v>
      </c>
      <c r="D216" s="49" t="s">
        <v>231</v>
      </c>
      <c r="E216" s="49" t="s">
        <v>232</v>
      </c>
      <c r="F216" s="49"/>
      <c r="G216" s="49" t="s">
        <v>35</v>
      </c>
      <c r="H216" s="50">
        <v>500</v>
      </c>
      <c r="I216" s="55"/>
      <c r="J216" s="49" t="s">
        <v>43</v>
      </c>
      <c r="K216" s="49" t="s">
        <v>37</v>
      </c>
      <c r="P216" s="4"/>
    </row>
    <row r="217" spans="1:16" ht="15.75" customHeight="1">
      <c r="A217" s="49">
        <v>21</v>
      </c>
      <c r="B217" s="49" t="s">
        <v>519</v>
      </c>
      <c r="C217" s="49" t="s">
        <v>227</v>
      </c>
      <c r="D217" s="49" t="s">
        <v>239</v>
      </c>
      <c r="E217" s="49" t="s">
        <v>232</v>
      </c>
      <c r="F217" s="49"/>
      <c r="G217" s="49" t="s">
        <v>35</v>
      </c>
      <c r="H217" s="50">
        <v>600</v>
      </c>
      <c r="I217" s="55">
        <v>90</v>
      </c>
      <c r="J217" s="49" t="s">
        <v>36</v>
      </c>
      <c r="K217" s="49" t="s">
        <v>37</v>
      </c>
      <c r="P217" s="4"/>
    </row>
    <row r="218" spans="1:16" ht="15.75" customHeight="1">
      <c r="A218" s="49">
        <v>21</v>
      </c>
      <c r="B218" s="49" t="s">
        <v>520</v>
      </c>
      <c r="C218" s="49" t="s">
        <v>227</v>
      </c>
      <c r="D218" s="49" t="s">
        <v>32</v>
      </c>
      <c r="E218" s="49" t="s">
        <v>241</v>
      </c>
      <c r="F218" s="49"/>
      <c r="G218" s="49" t="s">
        <v>35</v>
      </c>
      <c r="H218" s="50">
        <v>3000</v>
      </c>
      <c r="I218" s="55">
        <v>450</v>
      </c>
      <c r="J218" s="49" t="s">
        <v>36</v>
      </c>
      <c r="K218" s="49" t="s">
        <v>37</v>
      </c>
      <c r="P218" s="4"/>
    </row>
    <row r="219" spans="1:16" ht="15.75" customHeight="1">
      <c r="A219" s="49">
        <v>21</v>
      </c>
      <c r="B219" s="49" t="s">
        <v>521</v>
      </c>
      <c r="C219" s="49" t="s">
        <v>227</v>
      </c>
      <c r="D219" s="49" t="s">
        <v>522</v>
      </c>
      <c r="E219" s="49" t="s">
        <v>307</v>
      </c>
      <c r="F219" s="49"/>
      <c r="G219" s="49" t="s">
        <v>35</v>
      </c>
      <c r="H219" s="50">
        <v>1000</v>
      </c>
      <c r="I219" s="55">
        <v>150</v>
      </c>
      <c r="J219" s="49" t="s">
        <v>36</v>
      </c>
      <c r="K219" s="49" t="s">
        <v>37</v>
      </c>
      <c r="P219" s="4"/>
    </row>
    <row r="220" spans="1:16" ht="15.75" customHeight="1">
      <c r="A220" s="49">
        <v>22</v>
      </c>
      <c r="B220" s="49" t="s">
        <v>523</v>
      </c>
      <c r="C220" s="49" t="s">
        <v>227</v>
      </c>
      <c r="D220" s="49" t="s">
        <v>524</v>
      </c>
      <c r="E220" s="49" t="s">
        <v>525</v>
      </c>
      <c r="F220" s="49"/>
      <c r="G220" s="49" t="s">
        <v>35</v>
      </c>
      <c r="H220" s="50">
        <v>1000</v>
      </c>
      <c r="I220" s="55">
        <v>150</v>
      </c>
      <c r="J220" s="49" t="s">
        <v>36</v>
      </c>
      <c r="K220" s="49" t="s">
        <v>37</v>
      </c>
      <c r="P220" s="4"/>
    </row>
    <row r="221" spans="1:16" ht="15.75" customHeight="1">
      <c r="A221" s="49">
        <v>22</v>
      </c>
      <c r="B221" s="49" t="s">
        <v>403</v>
      </c>
      <c r="C221" s="49" t="s">
        <v>227</v>
      </c>
      <c r="D221" s="49" t="s">
        <v>33</v>
      </c>
      <c r="E221" s="49" t="s">
        <v>41</v>
      </c>
      <c r="F221" s="49"/>
      <c r="G221" s="49" t="s">
        <v>35</v>
      </c>
      <c r="H221" s="50">
        <v>5000</v>
      </c>
      <c r="I221" s="55">
        <v>750</v>
      </c>
      <c r="J221" s="49" t="s">
        <v>36</v>
      </c>
      <c r="K221" s="49" t="s">
        <v>37</v>
      </c>
      <c r="P221" s="4"/>
    </row>
    <row r="222" spans="1:16" ht="15.75" customHeight="1">
      <c r="A222" s="49">
        <v>22</v>
      </c>
      <c r="B222" s="49" t="s">
        <v>526</v>
      </c>
      <c r="C222" s="49" t="s">
        <v>227</v>
      </c>
      <c r="D222" s="49" t="s">
        <v>527</v>
      </c>
      <c r="E222" s="49" t="s">
        <v>41</v>
      </c>
      <c r="F222" s="49"/>
      <c r="G222" s="49" t="s">
        <v>35</v>
      </c>
      <c r="H222" s="50">
        <v>3000</v>
      </c>
      <c r="I222" s="55">
        <v>450</v>
      </c>
      <c r="J222" s="49" t="s">
        <v>36</v>
      </c>
      <c r="K222" s="49" t="s">
        <v>37</v>
      </c>
      <c r="P222" s="4"/>
    </row>
    <row r="223" spans="1:16" ht="15.75" customHeight="1">
      <c r="A223" s="49">
        <v>23</v>
      </c>
      <c r="B223" s="49" t="s">
        <v>528</v>
      </c>
      <c r="C223" s="49" t="s">
        <v>227</v>
      </c>
      <c r="D223" s="49" t="s">
        <v>529</v>
      </c>
      <c r="E223" s="49" t="s">
        <v>41</v>
      </c>
      <c r="F223" s="49"/>
      <c r="G223" s="49" t="s">
        <v>35</v>
      </c>
      <c r="H223" s="50">
        <v>1000</v>
      </c>
      <c r="I223" s="55">
        <v>150</v>
      </c>
      <c r="J223" s="49" t="s">
        <v>36</v>
      </c>
      <c r="K223" s="49" t="s">
        <v>37</v>
      </c>
      <c r="P223" s="4"/>
    </row>
    <row r="224" spans="1:16" ht="15.75" customHeight="1">
      <c r="A224" s="49">
        <v>22</v>
      </c>
      <c r="B224" s="49" t="s">
        <v>530</v>
      </c>
      <c r="C224" s="49" t="s">
        <v>227</v>
      </c>
      <c r="D224" s="49" t="s">
        <v>380</v>
      </c>
      <c r="E224" s="49" t="s">
        <v>48</v>
      </c>
      <c r="F224" s="49"/>
      <c r="G224" s="49" t="s">
        <v>242</v>
      </c>
      <c r="H224" s="50">
        <v>40</v>
      </c>
      <c r="I224" s="55">
        <v>120</v>
      </c>
      <c r="J224" s="49" t="s">
        <v>36</v>
      </c>
      <c r="K224" s="49" t="s">
        <v>37</v>
      </c>
      <c r="P224" s="4"/>
    </row>
    <row r="225" spans="1:16" ht="15.75" customHeight="1">
      <c r="A225" s="49">
        <v>22</v>
      </c>
      <c r="B225" s="49" t="s">
        <v>531</v>
      </c>
      <c r="C225" s="49" t="s">
        <v>227</v>
      </c>
      <c r="D225" s="49" t="s">
        <v>277</v>
      </c>
      <c r="E225" s="49" t="s">
        <v>232</v>
      </c>
      <c r="F225" s="49"/>
      <c r="G225" s="49" t="s">
        <v>35</v>
      </c>
      <c r="H225" s="50">
        <v>700</v>
      </c>
      <c r="I225" s="55">
        <v>105</v>
      </c>
      <c r="J225" s="49" t="s">
        <v>36</v>
      </c>
      <c r="K225" s="49" t="s">
        <v>37</v>
      </c>
      <c r="P225" s="4"/>
    </row>
    <row r="226" spans="1:16" ht="15.75" customHeight="1">
      <c r="A226" s="49">
        <v>22</v>
      </c>
      <c r="B226" s="49" t="s">
        <v>532</v>
      </c>
      <c r="C226" s="49" t="s">
        <v>227</v>
      </c>
      <c r="D226" s="49" t="s">
        <v>533</v>
      </c>
      <c r="E226" s="49" t="s">
        <v>41</v>
      </c>
      <c r="F226" s="49"/>
      <c r="G226" s="49" t="s">
        <v>35</v>
      </c>
      <c r="H226" s="50">
        <v>500</v>
      </c>
      <c r="I226" s="55"/>
      <c r="J226" s="49" t="s">
        <v>43</v>
      </c>
      <c r="K226" s="49" t="s">
        <v>37</v>
      </c>
      <c r="P226" s="4"/>
    </row>
    <row r="227" spans="1:16" ht="15.75" customHeight="1">
      <c r="A227" s="49">
        <v>22</v>
      </c>
      <c r="B227" s="49" t="s">
        <v>534</v>
      </c>
      <c r="C227" s="49" t="s">
        <v>227</v>
      </c>
      <c r="D227" s="49" t="s">
        <v>247</v>
      </c>
      <c r="E227" s="49" t="s">
        <v>41</v>
      </c>
      <c r="F227" s="49"/>
      <c r="G227" s="49" t="s">
        <v>35</v>
      </c>
      <c r="H227" s="50">
        <v>500</v>
      </c>
      <c r="I227" s="55"/>
      <c r="J227" s="49" t="s">
        <v>43</v>
      </c>
      <c r="K227" s="49" t="s">
        <v>37</v>
      </c>
      <c r="P227" s="4"/>
    </row>
    <row r="228" spans="1:16" ht="15.75" customHeight="1">
      <c r="A228" s="49">
        <v>22</v>
      </c>
      <c r="B228" s="49" t="s">
        <v>535</v>
      </c>
      <c r="C228" s="49" t="s">
        <v>227</v>
      </c>
      <c r="D228" s="49" t="s">
        <v>396</v>
      </c>
      <c r="E228" s="49" t="s">
        <v>251</v>
      </c>
      <c r="F228" s="49"/>
      <c r="G228" s="49" t="s">
        <v>35</v>
      </c>
      <c r="H228" s="50">
        <v>2000</v>
      </c>
      <c r="I228" s="55">
        <v>300</v>
      </c>
      <c r="J228" s="49" t="s">
        <v>43</v>
      </c>
      <c r="K228" s="49" t="s">
        <v>37</v>
      </c>
      <c r="P228" s="4"/>
    </row>
    <row r="229" spans="1:16" ht="15.75" customHeight="1">
      <c r="A229" s="49">
        <v>22</v>
      </c>
      <c r="B229" s="49" t="s">
        <v>535</v>
      </c>
      <c r="C229" s="49" t="s">
        <v>227</v>
      </c>
      <c r="D229" s="49" t="s">
        <v>396</v>
      </c>
      <c r="E229" s="49" t="s">
        <v>251</v>
      </c>
      <c r="F229" s="49"/>
      <c r="G229" s="49" t="s">
        <v>242</v>
      </c>
      <c r="H229" s="50">
        <v>15</v>
      </c>
      <c r="I229" s="55">
        <v>45</v>
      </c>
      <c r="J229" s="49" t="s">
        <v>36</v>
      </c>
      <c r="K229" s="49" t="s">
        <v>536</v>
      </c>
      <c r="P229" s="4"/>
    </row>
    <row r="230" spans="1:16" ht="15.75" customHeight="1">
      <c r="A230" s="49">
        <v>22</v>
      </c>
      <c r="B230" s="49" t="s">
        <v>367</v>
      </c>
      <c r="C230" s="49" t="s">
        <v>227</v>
      </c>
      <c r="D230" s="49" t="s">
        <v>231</v>
      </c>
      <c r="E230" s="49" t="s">
        <v>232</v>
      </c>
      <c r="F230" s="49"/>
      <c r="G230" s="49" t="s">
        <v>35</v>
      </c>
      <c r="H230" s="50">
        <v>5000</v>
      </c>
      <c r="I230" s="55">
        <v>750</v>
      </c>
      <c r="J230" s="49" t="s">
        <v>36</v>
      </c>
      <c r="K230" s="49" t="s">
        <v>37</v>
      </c>
      <c r="P230" s="4"/>
    </row>
    <row r="231" spans="1:16" ht="15.75" customHeight="1">
      <c r="A231" s="49">
        <v>23</v>
      </c>
      <c r="B231" s="49" t="s">
        <v>537</v>
      </c>
      <c r="C231" s="49" t="s">
        <v>227</v>
      </c>
      <c r="D231" s="49" t="s">
        <v>538</v>
      </c>
      <c r="E231" s="49" t="s">
        <v>285</v>
      </c>
      <c r="F231" s="49"/>
      <c r="G231" s="49" t="s">
        <v>35</v>
      </c>
      <c r="H231" s="50">
        <v>3500</v>
      </c>
      <c r="I231" s="55">
        <v>525</v>
      </c>
      <c r="J231" s="49" t="s">
        <v>36</v>
      </c>
      <c r="K231" s="49" t="s">
        <v>37</v>
      </c>
      <c r="P231" s="4"/>
    </row>
    <row r="232" spans="1:16" ht="15.75" customHeight="1">
      <c r="A232" s="49">
        <v>23</v>
      </c>
      <c r="B232" s="49" t="s">
        <v>539</v>
      </c>
      <c r="C232" s="49" t="s">
        <v>227</v>
      </c>
      <c r="D232" s="49" t="s">
        <v>33</v>
      </c>
      <c r="E232" s="49" t="s">
        <v>507</v>
      </c>
      <c r="F232" s="49"/>
      <c r="G232" s="49" t="s">
        <v>35</v>
      </c>
      <c r="H232" s="50">
        <v>600</v>
      </c>
      <c r="I232" s="55">
        <v>90</v>
      </c>
      <c r="J232" s="49" t="s">
        <v>36</v>
      </c>
      <c r="K232" s="49" t="s">
        <v>37</v>
      </c>
      <c r="P232" s="4"/>
    </row>
    <row r="233" spans="1:16" ht="15.75" customHeight="1">
      <c r="A233" s="49">
        <v>23</v>
      </c>
      <c r="B233" s="49" t="s">
        <v>540</v>
      </c>
      <c r="C233" s="49" t="s">
        <v>227</v>
      </c>
      <c r="D233" s="49" t="s">
        <v>295</v>
      </c>
      <c r="E233" s="49" t="s">
        <v>248</v>
      </c>
      <c r="F233" s="49"/>
      <c r="G233" s="49" t="s">
        <v>35</v>
      </c>
      <c r="H233" s="50">
        <v>500</v>
      </c>
      <c r="I233" s="55">
        <v>75</v>
      </c>
      <c r="J233" s="49" t="s">
        <v>36</v>
      </c>
      <c r="K233" s="49" t="s">
        <v>37</v>
      </c>
      <c r="P233" s="4"/>
    </row>
    <row r="234" spans="1:16" ht="15.75" customHeight="1">
      <c r="A234" s="49">
        <v>23</v>
      </c>
      <c r="B234" s="49" t="s">
        <v>541</v>
      </c>
      <c r="C234" s="49" t="s">
        <v>227</v>
      </c>
      <c r="D234" s="49" t="s">
        <v>290</v>
      </c>
      <c r="E234" s="49" t="s">
        <v>232</v>
      </c>
      <c r="F234" s="49"/>
      <c r="G234" s="49" t="s">
        <v>35</v>
      </c>
      <c r="H234" s="50">
        <v>1000</v>
      </c>
      <c r="I234" s="55">
        <v>150</v>
      </c>
      <c r="J234" s="49" t="s">
        <v>36</v>
      </c>
      <c r="K234" s="49" t="s">
        <v>37</v>
      </c>
      <c r="P234" s="4"/>
    </row>
    <row r="235" spans="1:16" ht="15.75" customHeight="1">
      <c r="A235" s="49">
        <v>23</v>
      </c>
      <c r="B235" s="49" t="s">
        <v>541</v>
      </c>
      <c r="C235" s="49" t="s">
        <v>227</v>
      </c>
      <c r="D235" s="49" t="s">
        <v>290</v>
      </c>
      <c r="E235" s="49" t="s">
        <v>232</v>
      </c>
      <c r="F235" s="49"/>
      <c r="G235" s="49" t="s">
        <v>35</v>
      </c>
      <c r="H235" s="50">
        <v>500</v>
      </c>
      <c r="I235" s="55"/>
      <c r="J235" s="49" t="s">
        <v>43</v>
      </c>
      <c r="K235" s="49" t="s">
        <v>37</v>
      </c>
      <c r="P235" s="4"/>
    </row>
    <row r="236" spans="1:16" ht="15.75" customHeight="1">
      <c r="A236" s="49">
        <v>25</v>
      </c>
      <c r="B236" s="49" t="s">
        <v>542</v>
      </c>
      <c r="C236" s="49" t="s">
        <v>227</v>
      </c>
      <c r="D236" s="49" t="s">
        <v>354</v>
      </c>
      <c r="E236" s="49" t="s">
        <v>251</v>
      </c>
      <c r="F236" s="49"/>
      <c r="G236" s="49" t="s">
        <v>35</v>
      </c>
      <c r="H236" s="50">
        <v>100</v>
      </c>
      <c r="I236" s="55">
        <v>25</v>
      </c>
      <c r="J236" s="49" t="s">
        <v>36</v>
      </c>
      <c r="K236" s="49" t="s">
        <v>37</v>
      </c>
      <c r="P236" s="4"/>
    </row>
    <row r="237" spans="1:16" ht="15.75" customHeight="1">
      <c r="A237" s="49">
        <v>25</v>
      </c>
      <c r="B237" s="49" t="s">
        <v>543</v>
      </c>
      <c r="C237" s="49" t="s">
        <v>227</v>
      </c>
      <c r="D237" s="49" t="s">
        <v>163</v>
      </c>
      <c r="E237" s="49" t="s">
        <v>164</v>
      </c>
      <c r="F237" s="49"/>
      <c r="G237" s="49" t="s">
        <v>35</v>
      </c>
      <c r="H237" s="50">
        <v>5000</v>
      </c>
      <c r="I237" s="55">
        <v>750</v>
      </c>
      <c r="J237" s="49" t="s">
        <v>36</v>
      </c>
      <c r="K237" s="49" t="s">
        <v>37</v>
      </c>
      <c r="P237" s="4"/>
    </row>
    <row r="238" spans="1:16" ht="15.75" customHeight="1">
      <c r="A238" s="49">
        <v>25</v>
      </c>
      <c r="B238" s="49" t="s">
        <v>341</v>
      </c>
      <c r="C238" s="49" t="s">
        <v>227</v>
      </c>
      <c r="D238" s="49" t="s">
        <v>342</v>
      </c>
      <c r="E238" s="49" t="s">
        <v>307</v>
      </c>
      <c r="F238" s="49"/>
      <c r="G238" s="49" t="s">
        <v>35</v>
      </c>
      <c r="H238" s="50">
        <v>2000</v>
      </c>
      <c r="I238" s="55">
        <v>300</v>
      </c>
      <c r="J238" s="49" t="s">
        <v>36</v>
      </c>
      <c r="K238" s="49" t="s">
        <v>37</v>
      </c>
      <c r="P238" s="4"/>
    </row>
    <row r="239" spans="1:16" ht="15.75" customHeight="1">
      <c r="A239" s="49">
        <v>25</v>
      </c>
      <c r="B239" s="49" t="s">
        <v>544</v>
      </c>
      <c r="C239" s="49" t="s">
        <v>227</v>
      </c>
      <c r="D239" s="49" t="s">
        <v>515</v>
      </c>
      <c r="E239" s="49" t="s">
        <v>321</v>
      </c>
      <c r="F239" s="49"/>
      <c r="G239" s="49" t="s">
        <v>35</v>
      </c>
      <c r="H239" s="50">
        <v>2500</v>
      </c>
      <c r="I239" s="55">
        <v>375</v>
      </c>
      <c r="J239" s="49" t="s">
        <v>36</v>
      </c>
      <c r="K239" s="49" t="s">
        <v>37</v>
      </c>
      <c r="P239" s="4"/>
    </row>
    <row r="240" spans="1:16" ht="15.75" customHeight="1">
      <c r="A240" s="49">
        <v>25</v>
      </c>
      <c r="B240" s="49" t="s">
        <v>544</v>
      </c>
      <c r="C240" s="49" t="s">
        <v>227</v>
      </c>
      <c r="D240" s="49" t="s">
        <v>515</v>
      </c>
      <c r="E240" s="49" t="s">
        <v>321</v>
      </c>
      <c r="F240" s="49"/>
      <c r="G240" s="49" t="s">
        <v>35</v>
      </c>
      <c r="H240" s="50">
        <v>500</v>
      </c>
      <c r="I240" s="55"/>
      <c r="J240" s="49" t="s">
        <v>43</v>
      </c>
      <c r="K240" s="49" t="s">
        <v>37</v>
      </c>
      <c r="P240" s="4"/>
    </row>
    <row r="241" spans="1:16" ht="15.75" customHeight="1">
      <c r="A241" s="49">
        <v>25</v>
      </c>
      <c r="B241" s="49" t="s">
        <v>545</v>
      </c>
      <c r="C241" s="49" t="s">
        <v>227</v>
      </c>
      <c r="D241" s="49" t="s">
        <v>32</v>
      </c>
      <c r="E241" s="49" t="s">
        <v>164</v>
      </c>
      <c r="F241" s="49"/>
      <c r="G241" s="49" t="s">
        <v>35</v>
      </c>
      <c r="H241" s="50">
        <v>2000</v>
      </c>
      <c r="I241" s="55">
        <v>300</v>
      </c>
      <c r="J241" s="49" t="s">
        <v>36</v>
      </c>
      <c r="K241" s="49" t="s">
        <v>37</v>
      </c>
      <c r="P241" s="4"/>
    </row>
    <row r="242" spans="1:16" ht="15.75" customHeight="1">
      <c r="A242" s="49">
        <v>25</v>
      </c>
      <c r="B242" s="49" t="s">
        <v>546</v>
      </c>
      <c r="C242" s="49" t="s">
        <v>227</v>
      </c>
      <c r="D242" s="49" t="s">
        <v>323</v>
      </c>
      <c r="E242" s="49" t="s">
        <v>232</v>
      </c>
      <c r="F242" s="49"/>
      <c r="G242" s="49" t="s">
        <v>242</v>
      </c>
      <c r="H242" s="50">
        <v>90</v>
      </c>
      <c r="I242" s="55">
        <v>270</v>
      </c>
      <c r="J242" s="49" t="s">
        <v>36</v>
      </c>
      <c r="K242" s="49" t="s">
        <v>37</v>
      </c>
      <c r="P242" s="4"/>
    </row>
    <row r="243" spans="1:16" ht="15.75" customHeight="1">
      <c r="A243" s="49">
        <v>26</v>
      </c>
      <c r="B243" s="49" t="s">
        <v>547</v>
      </c>
      <c r="C243" s="49" t="s">
        <v>227</v>
      </c>
      <c r="D243" s="49" t="s">
        <v>548</v>
      </c>
      <c r="E243" s="49" t="s">
        <v>48</v>
      </c>
      <c r="F243" s="49"/>
      <c r="G243" s="49" t="s">
        <v>35</v>
      </c>
      <c r="H243" s="50">
        <v>1000</v>
      </c>
      <c r="I243" s="55">
        <v>150</v>
      </c>
      <c r="J243" s="49" t="s">
        <v>36</v>
      </c>
      <c r="K243" s="49" t="s">
        <v>37</v>
      </c>
      <c r="P243" s="4"/>
    </row>
    <row r="244" spans="1:16" ht="15.75" customHeight="1">
      <c r="A244" s="49">
        <v>26</v>
      </c>
      <c r="B244" s="49" t="s">
        <v>549</v>
      </c>
      <c r="C244" s="49" t="s">
        <v>246</v>
      </c>
      <c r="D244" s="49" t="s">
        <v>550</v>
      </c>
      <c r="E244" s="49" t="s">
        <v>193</v>
      </c>
      <c r="F244" s="49"/>
      <c r="G244" s="49" t="s">
        <v>35</v>
      </c>
      <c r="H244" s="50">
        <v>500</v>
      </c>
      <c r="I244" s="55">
        <v>75</v>
      </c>
      <c r="J244" s="49" t="s">
        <v>36</v>
      </c>
      <c r="K244" s="49" t="s">
        <v>37</v>
      </c>
      <c r="P244" s="4"/>
    </row>
    <row r="245" spans="1:16" ht="15.75" customHeight="1">
      <c r="A245" s="49">
        <v>26</v>
      </c>
      <c r="B245" s="49" t="s">
        <v>289</v>
      </c>
      <c r="C245" s="49" t="s">
        <v>227</v>
      </c>
      <c r="D245" s="49" t="s">
        <v>290</v>
      </c>
      <c r="E245" s="49" t="s">
        <v>232</v>
      </c>
      <c r="F245" s="49"/>
      <c r="G245" s="49" t="s">
        <v>35</v>
      </c>
      <c r="H245" s="50">
        <v>160</v>
      </c>
      <c r="I245" s="55">
        <v>24</v>
      </c>
      <c r="J245" s="49" t="s">
        <v>36</v>
      </c>
      <c r="K245" s="49" t="s">
        <v>37</v>
      </c>
      <c r="P245" s="4"/>
    </row>
    <row r="246" spans="1:16" ht="15.75" customHeight="1">
      <c r="A246" s="49">
        <v>27</v>
      </c>
      <c r="B246" s="49" t="s">
        <v>551</v>
      </c>
      <c r="C246" s="49" t="s">
        <v>227</v>
      </c>
      <c r="D246" s="49" t="s">
        <v>239</v>
      </c>
      <c r="E246" s="49" t="s">
        <v>51</v>
      </c>
      <c r="F246" s="49"/>
      <c r="G246" s="49" t="s">
        <v>35</v>
      </c>
      <c r="H246" s="50">
        <v>100</v>
      </c>
      <c r="I246" s="55">
        <v>15</v>
      </c>
      <c r="J246" s="49" t="s">
        <v>36</v>
      </c>
      <c r="K246" s="49" t="s">
        <v>37</v>
      </c>
      <c r="P246" s="4"/>
    </row>
    <row r="247" spans="1:16" ht="15.75" customHeight="1">
      <c r="A247" s="49">
        <v>28</v>
      </c>
      <c r="B247" s="49" t="s">
        <v>552</v>
      </c>
      <c r="C247" s="49" t="s">
        <v>227</v>
      </c>
      <c r="D247" s="49" t="s">
        <v>32</v>
      </c>
      <c r="E247" s="49" t="s">
        <v>51</v>
      </c>
      <c r="F247" s="49"/>
      <c r="G247" s="49" t="s">
        <v>35</v>
      </c>
      <c r="H247" s="50">
        <v>300</v>
      </c>
      <c r="I247" s="55">
        <v>45</v>
      </c>
      <c r="J247" s="49" t="s">
        <v>36</v>
      </c>
      <c r="K247" s="49" t="s">
        <v>37</v>
      </c>
      <c r="P247" s="4"/>
    </row>
    <row r="248" spans="1:16" ht="15.75" customHeight="1">
      <c r="A248" s="49">
        <v>28</v>
      </c>
      <c r="B248" s="49" t="s">
        <v>553</v>
      </c>
      <c r="C248" s="49" t="s">
        <v>227</v>
      </c>
      <c r="D248" s="49" t="s">
        <v>554</v>
      </c>
      <c r="E248" s="49" t="s">
        <v>235</v>
      </c>
      <c r="F248" s="49"/>
      <c r="G248" s="49" t="s">
        <v>35</v>
      </c>
      <c r="H248" s="50">
        <v>200</v>
      </c>
      <c r="I248" s="55">
        <v>30</v>
      </c>
      <c r="J248" s="49" t="s">
        <v>36</v>
      </c>
      <c r="K248" s="49" t="s">
        <v>37</v>
      </c>
      <c r="P248" s="4"/>
    </row>
    <row r="249" spans="1:16" ht="15.75" customHeight="1">
      <c r="A249" s="49">
        <v>28</v>
      </c>
      <c r="B249" s="49" t="s">
        <v>555</v>
      </c>
      <c r="C249" s="49" t="s">
        <v>227</v>
      </c>
      <c r="D249" s="49" t="s">
        <v>556</v>
      </c>
      <c r="E249" s="49" t="s">
        <v>232</v>
      </c>
      <c r="F249" s="49"/>
      <c r="G249" s="49" t="s">
        <v>35</v>
      </c>
      <c r="H249" s="50">
        <v>500</v>
      </c>
      <c r="I249" s="55"/>
      <c r="J249" s="49" t="s">
        <v>43</v>
      </c>
      <c r="K249" s="49" t="s">
        <v>37</v>
      </c>
      <c r="P249" s="4"/>
    </row>
    <row r="250" spans="1:16" ht="15.75" customHeight="1">
      <c r="A250" s="49">
        <v>28</v>
      </c>
      <c r="B250" s="49" t="s">
        <v>557</v>
      </c>
      <c r="C250" s="49" t="s">
        <v>227</v>
      </c>
      <c r="D250" s="49" t="s">
        <v>304</v>
      </c>
      <c r="E250" s="49" t="s">
        <v>241</v>
      </c>
      <c r="F250" s="49"/>
      <c r="G250" s="49" t="s">
        <v>242</v>
      </c>
      <c r="H250" s="50">
        <v>15</v>
      </c>
      <c r="I250" s="55">
        <v>45</v>
      </c>
      <c r="J250" s="49" t="s">
        <v>36</v>
      </c>
      <c r="K250" s="49" t="s">
        <v>536</v>
      </c>
      <c r="P250" s="4"/>
    </row>
    <row r="251" spans="1:16" ht="15.75" customHeight="1">
      <c r="A251" s="49">
        <v>29</v>
      </c>
      <c r="B251" s="49" t="s">
        <v>558</v>
      </c>
      <c r="C251" s="49" t="s">
        <v>246</v>
      </c>
      <c r="D251" s="49" t="s">
        <v>559</v>
      </c>
      <c r="E251" s="49" t="s">
        <v>467</v>
      </c>
      <c r="F251" s="49"/>
      <c r="G251" s="49" t="s">
        <v>35</v>
      </c>
      <c r="H251" s="50">
        <v>1500</v>
      </c>
      <c r="I251" s="55">
        <v>225</v>
      </c>
      <c r="J251" s="49" t="s">
        <v>36</v>
      </c>
      <c r="K251" s="49" t="s">
        <v>37</v>
      </c>
      <c r="P251" s="4"/>
    </row>
    <row r="252" spans="1:16" ht="15.75" customHeight="1">
      <c r="A252" s="49">
        <v>29</v>
      </c>
      <c r="B252" s="49" t="s">
        <v>560</v>
      </c>
      <c r="C252" s="49" t="s">
        <v>227</v>
      </c>
      <c r="D252" s="49" t="s">
        <v>262</v>
      </c>
      <c r="E252" s="49" t="s">
        <v>232</v>
      </c>
      <c r="F252" s="49"/>
      <c r="G252" s="49" t="s">
        <v>35</v>
      </c>
      <c r="H252" s="50">
        <v>1000</v>
      </c>
      <c r="I252" s="55">
        <v>150</v>
      </c>
      <c r="J252" s="49" t="s">
        <v>36</v>
      </c>
      <c r="K252" s="49" t="s">
        <v>37</v>
      </c>
      <c r="P252" s="4"/>
    </row>
    <row r="253" spans="1:16" ht="15.75" customHeight="1">
      <c r="A253" s="49">
        <v>29</v>
      </c>
      <c r="B253" s="49" t="s">
        <v>561</v>
      </c>
      <c r="C253" s="49" t="s">
        <v>227</v>
      </c>
      <c r="D253" s="49" t="s">
        <v>562</v>
      </c>
      <c r="E253" s="49" t="s">
        <v>232</v>
      </c>
      <c r="F253" s="49"/>
      <c r="G253" s="49" t="s">
        <v>35</v>
      </c>
      <c r="H253" s="50">
        <v>200</v>
      </c>
      <c r="I253" s="55">
        <v>30</v>
      </c>
      <c r="J253" s="49" t="s">
        <v>36</v>
      </c>
      <c r="K253" s="49" t="s">
        <v>37</v>
      </c>
      <c r="P253" s="4"/>
    </row>
    <row r="254" spans="1:16" ht="15.75" customHeight="1">
      <c r="A254" s="49">
        <v>29</v>
      </c>
      <c r="B254" s="49" t="s">
        <v>563</v>
      </c>
      <c r="C254" s="49" t="s">
        <v>227</v>
      </c>
      <c r="D254" s="49" t="s">
        <v>564</v>
      </c>
      <c r="E254" s="49" t="s">
        <v>507</v>
      </c>
      <c r="F254" s="49"/>
      <c r="G254" s="49" t="s">
        <v>35</v>
      </c>
      <c r="H254" s="50">
        <v>1000</v>
      </c>
      <c r="I254" s="55">
        <v>150</v>
      </c>
      <c r="J254" s="49" t="s">
        <v>36</v>
      </c>
      <c r="K254" s="49" t="s">
        <v>37</v>
      </c>
      <c r="P254" s="4"/>
    </row>
    <row r="255" spans="1:16" ht="15.75" customHeight="1">
      <c r="A255" s="49">
        <v>29</v>
      </c>
      <c r="B255" s="49" t="s">
        <v>563</v>
      </c>
      <c r="C255" s="49" t="s">
        <v>227</v>
      </c>
      <c r="D255" s="49" t="s">
        <v>564</v>
      </c>
      <c r="E255" s="49" t="s">
        <v>507</v>
      </c>
      <c r="F255" s="49"/>
      <c r="G255" s="49" t="s">
        <v>35</v>
      </c>
      <c r="H255" s="50">
        <v>1500</v>
      </c>
      <c r="I255" s="55"/>
      <c r="J255" s="49" t="s">
        <v>43</v>
      </c>
      <c r="K255" s="49" t="s">
        <v>37</v>
      </c>
      <c r="P255" s="4"/>
    </row>
    <row r="256" spans="1:16" ht="15.75" customHeight="1">
      <c r="A256" s="49">
        <v>29</v>
      </c>
      <c r="B256" s="49" t="s">
        <v>565</v>
      </c>
      <c r="C256" s="49" t="s">
        <v>227</v>
      </c>
      <c r="D256" s="49" t="s">
        <v>464</v>
      </c>
      <c r="E256" s="49" t="s">
        <v>251</v>
      </c>
      <c r="F256" s="49"/>
      <c r="G256" s="49" t="s">
        <v>355</v>
      </c>
      <c r="H256" s="50">
        <v>3</v>
      </c>
      <c r="I256" s="55">
        <v>30</v>
      </c>
      <c r="J256" s="49" t="s">
        <v>36</v>
      </c>
      <c r="K256" s="49" t="s">
        <v>536</v>
      </c>
      <c r="P256" s="4"/>
    </row>
    <row r="257" spans="1:16" ht="15.75" customHeight="1">
      <c r="A257" s="49"/>
      <c r="B257" s="49"/>
      <c r="C257" s="49"/>
      <c r="D257" s="49"/>
      <c r="E257" s="49"/>
      <c r="F257" s="49"/>
      <c r="G257" s="49"/>
      <c r="H257" s="50"/>
      <c r="I257" s="55"/>
      <c r="J257" s="49"/>
      <c r="K257" s="49"/>
      <c r="P257" s="4"/>
    </row>
    <row r="258" spans="1:16" ht="15.75" customHeight="1">
      <c r="A258" s="49"/>
      <c r="B258" s="49"/>
      <c r="C258" s="49"/>
      <c r="D258" s="49"/>
      <c r="E258" s="49"/>
      <c r="F258" s="49"/>
      <c r="G258" s="49"/>
      <c r="H258" s="49"/>
      <c r="I258" s="55"/>
      <c r="J258" s="49"/>
      <c r="K258" s="49"/>
    </row>
    <row r="259" spans="1:16" ht="15.75" customHeight="1">
      <c r="A259" s="56"/>
      <c r="B259" s="56" t="s">
        <v>566</v>
      </c>
      <c r="C259" s="49"/>
      <c r="D259" s="49"/>
      <c r="E259" s="49"/>
      <c r="F259" s="49"/>
      <c r="G259" s="49"/>
      <c r="H259" s="50"/>
      <c r="I259" s="55"/>
      <c r="J259" s="49"/>
      <c r="K259" s="49"/>
    </row>
    <row r="260" spans="1:16" ht="15.75" customHeight="1">
      <c r="B260" s="1"/>
      <c r="C260" s="1"/>
      <c r="D260" s="1"/>
      <c r="E260" s="1"/>
      <c r="F260" s="1"/>
      <c r="G260" s="1"/>
      <c r="H260" s="4"/>
      <c r="I260" s="93"/>
      <c r="J260" s="1"/>
    </row>
    <row r="261" spans="1:16" ht="15.75" customHeight="1"/>
    <row r="262" spans="1:16" ht="15.75" customHeight="1">
      <c r="I262" s="60" t="s">
        <v>53</v>
      </c>
      <c r="J262" s="60"/>
    </row>
    <row r="263" spans="1:16" ht="15.75" customHeight="1">
      <c r="B263" s="61" t="s">
        <v>55</v>
      </c>
      <c r="E263" s="61" t="s">
        <v>56</v>
      </c>
      <c r="I263" s="60" t="s">
        <v>567</v>
      </c>
      <c r="J263" s="60"/>
    </row>
    <row r="264" spans="1:16" ht="15.75" customHeight="1">
      <c r="I264" s="60" t="s">
        <v>568</v>
      </c>
      <c r="J264" s="60"/>
    </row>
    <row r="265" spans="1:16" ht="15.75" customHeight="1">
      <c r="I265" s="60" t="s">
        <v>569</v>
      </c>
      <c r="J265" s="60"/>
    </row>
    <row r="266" spans="1:16" ht="15.75" customHeight="1">
      <c r="B266" s="65" t="s">
        <v>60</v>
      </c>
      <c r="E266" s="65" t="s">
        <v>61</v>
      </c>
      <c r="F266" s="65"/>
      <c r="G266" s="62"/>
      <c r="I266" s="60" t="s">
        <v>570</v>
      </c>
      <c r="J266" s="60"/>
    </row>
    <row r="267" spans="1:16" ht="15.75" customHeight="1">
      <c r="B267" s="61" t="s">
        <v>63</v>
      </c>
      <c r="E267" s="61" t="s">
        <v>571</v>
      </c>
      <c r="I267" s="60" t="s">
        <v>572</v>
      </c>
      <c r="J267" s="60"/>
    </row>
    <row r="268" spans="1:16" ht="15.75" customHeight="1">
      <c r="I268" s="60" t="s">
        <v>573</v>
      </c>
      <c r="J268" s="60"/>
    </row>
    <row r="269" spans="1:16" ht="15.75" customHeight="1">
      <c r="I269" s="60" t="s">
        <v>66</v>
      </c>
      <c r="J269" s="60"/>
    </row>
    <row r="270" spans="1:16" ht="15.75" customHeight="1">
      <c r="I270" s="60" t="s">
        <v>574</v>
      </c>
      <c r="J270" s="63"/>
    </row>
    <row r="271" spans="1:16" ht="15.75" customHeight="1">
      <c r="I271" s="60" t="s">
        <v>575</v>
      </c>
      <c r="J271" s="63"/>
    </row>
    <row r="272" spans="1:16" ht="15.75" customHeight="1">
      <c r="A272" s="240" t="s">
        <v>0</v>
      </c>
      <c r="B272" s="241"/>
      <c r="C272" s="241"/>
      <c r="D272" s="241"/>
      <c r="E272" s="241"/>
      <c r="F272" s="241"/>
      <c r="G272" s="241"/>
      <c r="H272" s="241"/>
      <c r="I272" s="241"/>
      <c r="J272" s="241"/>
      <c r="K272" s="1"/>
    </row>
    <row r="273" spans="1:12" ht="15.75" customHeight="1">
      <c r="A273" s="2"/>
      <c r="B273" s="3"/>
      <c r="C273" s="242" t="s">
        <v>1</v>
      </c>
      <c r="D273" s="241"/>
      <c r="E273" s="241"/>
      <c r="F273" s="241"/>
      <c r="G273" s="241"/>
      <c r="H273" s="241"/>
      <c r="I273" s="4"/>
      <c r="J273" s="5"/>
      <c r="K273" s="6"/>
      <c r="L273" s="6"/>
    </row>
    <row r="274" spans="1:12" ht="15.75" customHeight="1">
      <c r="A274" s="2"/>
      <c r="B274" s="3"/>
      <c r="C274" s="7"/>
      <c r="D274" s="3"/>
      <c r="E274" s="3"/>
      <c r="G274" s="3"/>
      <c r="H274" s="7"/>
      <c r="I274" s="4"/>
      <c r="J274" s="5"/>
      <c r="K274" s="8" t="s">
        <v>576</v>
      </c>
      <c r="L274" s="9"/>
    </row>
    <row r="275" spans="1:12" ht="15.75" customHeight="1">
      <c r="A275" s="2"/>
      <c r="B275" s="3"/>
      <c r="C275" s="7"/>
      <c r="D275" s="3"/>
      <c r="E275" s="3"/>
      <c r="G275" s="3"/>
      <c r="H275" s="7"/>
      <c r="I275" s="4"/>
      <c r="J275" s="5"/>
      <c r="K275" s="10" t="s">
        <v>577</v>
      </c>
      <c r="L275" s="11"/>
    </row>
    <row r="276" spans="1:12" ht="15.75" customHeight="1">
      <c r="A276" s="2"/>
      <c r="B276" s="3"/>
      <c r="C276" s="7"/>
      <c r="D276" s="3"/>
      <c r="E276" s="3"/>
      <c r="G276" s="3"/>
      <c r="H276" s="7"/>
      <c r="I276" s="4"/>
      <c r="J276" s="5"/>
      <c r="K276" s="10" t="s">
        <v>578</v>
      </c>
      <c r="L276" s="11"/>
    </row>
    <row r="277" spans="1:12" ht="15.75" customHeight="1">
      <c r="A277" s="12" t="s">
        <v>5</v>
      </c>
      <c r="B277" s="13"/>
      <c r="C277" s="14"/>
      <c r="D277" s="3"/>
      <c r="E277" s="15"/>
      <c r="F277" s="6"/>
      <c r="G277" s="3"/>
      <c r="H277" s="7"/>
      <c r="I277" s="4"/>
      <c r="J277" s="5"/>
      <c r="K277" s="16" t="s">
        <v>579</v>
      </c>
      <c r="L277" s="17"/>
    </row>
    <row r="278" spans="1:12" ht="15.75" customHeight="1">
      <c r="A278" s="18"/>
      <c r="B278" s="19"/>
      <c r="C278" s="20" t="s">
        <v>7</v>
      </c>
      <c r="D278" s="21"/>
      <c r="E278" s="21"/>
      <c r="F278" s="22" t="s">
        <v>8</v>
      </c>
      <c r="G278" s="20" t="s">
        <v>9</v>
      </c>
      <c r="H278" s="243" t="s">
        <v>10</v>
      </c>
      <c r="I278" s="244"/>
      <c r="J278" s="23"/>
      <c r="K278" s="245" t="s">
        <v>11</v>
      </c>
      <c r="L278" s="246"/>
    </row>
    <row r="279" spans="1:12" ht="15.75" customHeight="1">
      <c r="A279" s="247" t="s">
        <v>12</v>
      </c>
      <c r="B279" s="248"/>
      <c r="C279" s="22" t="s">
        <v>13</v>
      </c>
      <c r="D279" s="24" t="s">
        <v>14</v>
      </c>
      <c r="E279" s="25" t="s">
        <v>15</v>
      </c>
      <c r="F279" s="22" t="s">
        <v>16</v>
      </c>
      <c r="G279" s="26" t="s">
        <v>17</v>
      </c>
      <c r="H279" s="27"/>
      <c r="I279" s="28" t="s">
        <v>18</v>
      </c>
      <c r="J279" s="29" t="s">
        <v>19</v>
      </c>
      <c r="K279" s="30"/>
      <c r="L279" s="9"/>
    </row>
    <row r="280" spans="1:12" ht="15.75" customHeight="1">
      <c r="A280" s="31"/>
      <c r="B280" s="32"/>
      <c r="C280" s="22" t="s">
        <v>20</v>
      </c>
      <c r="D280" s="33"/>
      <c r="E280" s="32"/>
      <c r="F280" s="22" t="s">
        <v>21</v>
      </c>
      <c r="G280" s="26" t="s">
        <v>22</v>
      </c>
      <c r="H280" s="34" t="s">
        <v>23</v>
      </c>
      <c r="I280" s="28" t="s">
        <v>24</v>
      </c>
      <c r="J280" s="35"/>
      <c r="K280" s="24" t="s">
        <v>25</v>
      </c>
      <c r="L280" s="24" t="s">
        <v>26</v>
      </c>
    </row>
    <row r="281" spans="1:12" ht="15.75" customHeight="1">
      <c r="A281" s="36"/>
      <c r="B281" s="37"/>
      <c r="C281" s="38"/>
      <c r="D281" s="39"/>
      <c r="E281" s="39"/>
      <c r="F281" s="40" t="s">
        <v>27</v>
      </c>
      <c r="G281" s="41"/>
      <c r="H281" s="42"/>
      <c r="I281" s="43" t="s">
        <v>28</v>
      </c>
      <c r="J281" s="44"/>
      <c r="K281" s="45"/>
      <c r="L281" s="41" t="s">
        <v>29</v>
      </c>
    </row>
    <row r="282" spans="1:12" ht="15.75" customHeight="1">
      <c r="A282" s="46" t="s">
        <v>30</v>
      </c>
      <c r="B282" s="47"/>
      <c r="C282" s="48"/>
      <c r="D282" s="47"/>
      <c r="E282" s="47"/>
      <c r="F282" s="49"/>
      <c r="G282" s="47"/>
      <c r="H282" s="48"/>
      <c r="I282" s="50"/>
      <c r="J282" s="51"/>
      <c r="K282" s="49"/>
      <c r="L282" s="49"/>
    </row>
    <row r="283" spans="1:12" ht="15.75" customHeight="1">
      <c r="A283" s="49">
        <v>10</v>
      </c>
      <c r="B283" s="49" t="s">
        <v>31</v>
      </c>
      <c r="C283" s="49"/>
      <c r="D283" s="49" t="s">
        <v>32</v>
      </c>
      <c r="E283" s="49" t="s">
        <v>33</v>
      </c>
      <c r="F283" s="49"/>
      <c r="G283" s="52" t="s">
        <v>34</v>
      </c>
      <c r="H283" s="53" t="s">
        <v>35</v>
      </c>
      <c r="I283" s="54">
        <v>11300</v>
      </c>
      <c r="J283" s="55">
        <v>1695</v>
      </c>
      <c r="K283" s="56" t="s">
        <v>36</v>
      </c>
      <c r="L283" s="49" t="s">
        <v>37</v>
      </c>
    </row>
    <row r="284" spans="1:12" ht="15.75" customHeight="1">
      <c r="A284" s="49">
        <v>14</v>
      </c>
      <c r="B284" s="56" t="s">
        <v>38</v>
      </c>
      <c r="C284" s="49"/>
      <c r="D284" s="56"/>
      <c r="E284" s="56"/>
      <c r="F284" s="49"/>
      <c r="G284" s="56"/>
      <c r="H284" s="53"/>
      <c r="I284" s="57"/>
      <c r="J284" s="49"/>
      <c r="K284" s="56"/>
      <c r="L284" s="30"/>
    </row>
    <row r="285" spans="1:12" ht="15.75" customHeight="1">
      <c r="A285" s="49"/>
      <c r="B285" s="56" t="s">
        <v>39</v>
      </c>
      <c r="C285" s="56"/>
      <c r="D285" s="56" t="s">
        <v>40</v>
      </c>
      <c r="E285" s="56" t="s">
        <v>41</v>
      </c>
      <c r="F285" s="49"/>
      <c r="G285" s="56" t="s">
        <v>42</v>
      </c>
      <c r="H285" s="53" t="s">
        <v>35</v>
      </c>
      <c r="I285" s="50">
        <v>2000</v>
      </c>
      <c r="J285" s="53"/>
      <c r="K285" s="56" t="s">
        <v>43</v>
      </c>
      <c r="L285" s="56" t="s">
        <v>37</v>
      </c>
    </row>
    <row r="286" spans="1:12" ht="15.75" customHeight="1">
      <c r="A286" s="49">
        <v>14</v>
      </c>
      <c r="B286" s="56" t="s">
        <v>44</v>
      </c>
      <c r="C286" s="49"/>
      <c r="D286" s="56" t="s">
        <v>32</v>
      </c>
      <c r="E286" s="56" t="s">
        <v>45</v>
      </c>
      <c r="F286" s="49"/>
      <c r="G286" s="56" t="s">
        <v>46</v>
      </c>
      <c r="H286" s="56" t="s">
        <v>35</v>
      </c>
      <c r="I286" s="50">
        <v>23075</v>
      </c>
      <c r="J286" s="49"/>
      <c r="K286" s="56" t="s">
        <v>43</v>
      </c>
      <c r="L286" s="56" t="s">
        <v>37</v>
      </c>
    </row>
    <row r="287" spans="1:12" ht="15.75" customHeight="1">
      <c r="A287" s="49">
        <v>25</v>
      </c>
      <c r="B287" s="58" t="s">
        <v>47</v>
      </c>
      <c r="C287" s="56"/>
      <c r="D287" s="56" t="s">
        <v>32</v>
      </c>
      <c r="E287" s="56" t="s">
        <v>48</v>
      </c>
      <c r="F287" s="49"/>
      <c r="G287" s="56" t="s">
        <v>49</v>
      </c>
      <c r="H287" s="53" t="s">
        <v>35</v>
      </c>
      <c r="I287" s="50">
        <v>3500</v>
      </c>
      <c r="J287" s="56"/>
      <c r="K287" s="56" t="s">
        <v>43</v>
      </c>
      <c r="L287" s="56" t="s">
        <v>37</v>
      </c>
    </row>
    <row r="288" spans="1:12" ht="15.75" customHeight="1">
      <c r="A288" s="49">
        <v>26</v>
      </c>
      <c r="B288" s="56" t="s">
        <v>50</v>
      </c>
      <c r="C288" s="56"/>
      <c r="D288" s="49" t="s">
        <v>32</v>
      </c>
      <c r="E288" s="56" t="s">
        <v>51</v>
      </c>
      <c r="F288" s="49"/>
      <c r="G288" s="56" t="s">
        <v>52</v>
      </c>
      <c r="H288" s="53" t="s">
        <v>35</v>
      </c>
      <c r="I288" s="53">
        <v>2000</v>
      </c>
      <c r="J288" s="56"/>
      <c r="K288" s="56" t="s">
        <v>43</v>
      </c>
      <c r="L288" s="56" t="s">
        <v>37</v>
      </c>
    </row>
    <row r="289" spans="1:18" ht="15.75" customHeight="1">
      <c r="A289" s="49"/>
      <c r="B289" s="56"/>
      <c r="C289" s="49"/>
      <c r="D289" s="56"/>
      <c r="E289" s="56"/>
      <c r="F289" s="49"/>
      <c r="G289" s="56"/>
      <c r="H289" s="56"/>
      <c r="I289" s="50"/>
      <c r="J289" s="49"/>
      <c r="K289" s="56"/>
      <c r="L289" s="56"/>
    </row>
    <row r="290" spans="1:18" ht="15.75" customHeight="1">
      <c r="A290" s="49"/>
      <c r="B290" s="56"/>
      <c r="C290" s="49"/>
      <c r="D290" s="56"/>
      <c r="E290" s="56"/>
      <c r="F290" s="49"/>
      <c r="G290" s="56"/>
      <c r="H290" s="56"/>
      <c r="I290" s="50"/>
      <c r="J290" s="49"/>
      <c r="K290" s="59"/>
      <c r="L290" s="56"/>
    </row>
    <row r="291" spans="1:18" ht="15.75" customHeight="1">
      <c r="A291" s="49"/>
      <c r="B291" s="49"/>
      <c r="C291" s="49"/>
      <c r="D291" s="49"/>
      <c r="E291" s="49"/>
      <c r="F291" s="49"/>
      <c r="G291" s="49"/>
      <c r="H291" s="49"/>
      <c r="I291" s="50"/>
      <c r="J291" s="49"/>
      <c r="K291" s="48"/>
      <c r="L291" s="49"/>
    </row>
    <row r="292" spans="1:18" ht="15.75" customHeight="1">
      <c r="A292" s="49"/>
      <c r="B292" s="49"/>
      <c r="C292" s="49"/>
      <c r="D292" s="49"/>
      <c r="E292" s="49"/>
      <c r="F292" s="49"/>
      <c r="G292" s="49"/>
      <c r="H292" s="49"/>
      <c r="I292" s="50"/>
      <c r="J292" s="49"/>
      <c r="K292" s="48"/>
      <c r="L292" s="49"/>
    </row>
    <row r="293" spans="1:18" ht="15.75" customHeight="1">
      <c r="A293" s="49"/>
      <c r="B293" s="49"/>
      <c r="C293" s="49"/>
      <c r="D293" s="49"/>
      <c r="E293" s="49"/>
      <c r="F293" s="49"/>
      <c r="G293" s="49"/>
      <c r="H293" s="49"/>
      <c r="I293" s="50"/>
      <c r="J293" s="49"/>
      <c r="K293" s="48"/>
      <c r="L293" s="49"/>
    </row>
    <row r="294" spans="1:18" ht="15.75" customHeight="1">
      <c r="A294" s="49"/>
      <c r="B294" s="49"/>
      <c r="C294" s="49"/>
      <c r="D294" s="49"/>
      <c r="E294" s="49"/>
      <c r="F294" s="49"/>
      <c r="G294" s="49"/>
      <c r="H294" s="49"/>
      <c r="I294" s="50"/>
      <c r="J294" s="49"/>
      <c r="K294" s="48"/>
      <c r="L294" s="49"/>
    </row>
    <row r="295" spans="1:18" ht="15.75" customHeight="1">
      <c r="A295" s="49"/>
      <c r="B295" s="49"/>
      <c r="C295" s="49"/>
      <c r="D295" s="49"/>
      <c r="E295" s="49"/>
      <c r="F295" s="49"/>
      <c r="G295" s="49"/>
      <c r="H295" s="49"/>
      <c r="I295" s="50"/>
      <c r="J295" s="49"/>
      <c r="K295" s="48"/>
      <c r="L295" s="49"/>
    </row>
    <row r="296" spans="1:18" ht="15.75" customHeight="1">
      <c r="I296" s="60"/>
      <c r="J296" s="60"/>
    </row>
    <row r="297" spans="1:18" ht="15.75" customHeight="1">
      <c r="I297" s="60" t="s">
        <v>53</v>
      </c>
      <c r="J297" s="60"/>
    </row>
    <row r="298" spans="1:18" ht="15.75" customHeight="1">
      <c r="I298" s="60" t="s">
        <v>580</v>
      </c>
      <c r="J298" s="60"/>
    </row>
    <row r="299" spans="1:18" ht="15.75" customHeight="1">
      <c r="B299" s="61" t="s">
        <v>55</v>
      </c>
      <c r="E299" s="61" t="s">
        <v>56</v>
      </c>
      <c r="I299" s="60" t="s">
        <v>581</v>
      </c>
      <c r="J299" s="60"/>
    </row>
    <row r="300" spans="1:18" ht="15.75" customHeight="1">
      <c r="I300" s="60" t="s">
        <v>582</v>
      </c>
      <c r="J300" s="60"/>
      <c r="R300" s="4"/>
    </row>
    <row r="301" spans="1:18" ht="15.75" customHeight="1">
      <c r="I301" s="60" t="s">
        <v>583</v>
      </c>
      <c r="J301" s="60"/>
    </row>
    <row r="302" spans="1:18" ht="15.75" customHeight="1">
      <c r="B302" s="62" t="s">
        <v>60</v>
      </c>
      <c r="E302" s="62" t="s">
        <v>61</v>
      </c>
      <c r="F302" s="62"/>
      <c r="G302" s="62"/>
      <c r="I302" s="60" t="s">
        <v>584</v>
      </c>
      <c r="J302" s="60"/>
    </row>
    <row r="303" spans="1:18" ht="15.75" customHeight="1">
      <c r="B303" s="61" t="s">
        <v>63</v>
      </c>
      <c r="E303" s="61" t="s">
        <v>64</v>
      </c>
      <c r="I303" s="60" t="s">
        <v>585</v>
      </c>
      <c r="J303" s="60"/>
    </row>
    <row r="304" spans="1:18" ht="15.75" customHeight="1">
      <c r="I304" s="60" t="s">
        <v>66</v>
      </c>
      <c r="J304" s="60"/>
    </row>
    <row r="305" spans="9:16" ht="15.75" customHeight="1">
      <c r="I305" s="60" t="s">
        <v>586</v>
      </c>
      <c r="J305" s="63"/>
    </row>
    <row r="306" spans="9:16" ht="15.75" customHeight="1">
      <c r="I306" s="60" t="s">
        <v>587</v>
      </c>
      <c r="J306" s="63"/>
    </row>
    <row r="307" spans="9:16" ht="15.75" customHeight="1">
      <c r="P307" s="4"/>
    </row>
    <row r="308" spans="9:16" ht="15.75" customHeight="1"/>
    <row r="309" spans="9:16" ht="15.75" customHeight="1"/>
    <row r="310" spans="9:16" ht="15.75" customHeight="1"/>
    <row r="311" spans="9:16" ht="15.75" customHeight="1"/>
    <row r="312" spans="9:16" ht="15.75" customHeight="1"/>
    <row r="313" spans="9:16" ht="15.75" customHeight="1"/>
    <row r="314" spans="9:16" ht="15.75" customHeight="1"/>
    <row r="315" spans="9:16" ht="15.75" customHeight="1"/>
    <row r="316" spans="9:16" ht="15.75" customHeight="1"/>
    <row r="317" spans="9:16" ht="15.75" customHeight="1"/>
    <row r="318" spans="9:16" ht="15.75" customHeight="1"/>
    <row r="319" spans="9:16" ht="15.75" customHeight="1"/>
    <row r="320" spans="9:16" ht="15.75" customHeight="1"/>
    <row r="321" spans="16:18" ht="15.75" customHeight="1"/>
    <row r="322" spans="16:18" ht="15.75" customHeight="1"/>
    <row r="323" spans="16:18" ht="15.75" customHeight="1"/>
    <row r="324" spans="16:18" ht="15.75" customHeight="1"/>
    <row r="325" spans="16:18" ht="15.75" customHeight="1"/>
    <row r="326" spans="16:18" ht="15.75" customHeight="1">
      <c r="R326" s="4"/>
    </row>
    <row r="327" spans="16:18" ht="15.75" customHeight="1"/>
    <row r="328" spans="16:18" ht="15.75" customHeight="1"/>
    <row r="329" spans="16:18" ht="15.75" customHeight="1">
      <c r="P329" s="4"/>
    </row>
    <row r="330" spans="16:18" ht="15.75" customHeight="1"/>
    <row r="331" spans="16:18" ht="15.75" customHeight="1"/>
    <row r="332" spans="16:18" ht="15.75" customHeight="1"/>
    <row r="333" spans="16:18" ht="15.75" customHeight="1"/>
    <row r="334" spans="16:18" ht="15.75" customHeight="1"/>
    <row r="335" spans="16:18" ht="15.75" customHeight="1"/>
    <row r="336" spans="16:18" ht="15.75" customHeight="1"/>
    <row r="337" spans="18:18" ht="15.75" customHeight="1"/>
    <row r="338" spans="18:18" ht="15.75" customHeight="1"/>
    <row r="339" spans="18:18" ht="15.75" customHeight="1"/>
    <row r="340" spans="18:18" ht="15.75" customHeight="1"/>
    <row r="341" spans="18:18" ht="15.75" customHeight="1"/>
    <row r="342" spans="18:18" ht="15.75" customHeight="1"/>
    <row r="343" spans="18:18" ht="15.75" customHeight="1"/>
    <row r="344" spans="18:18" ht="15.75" customHeight="1"/>
    <row r="345" spans="18:18" ht="15.75" customHeight="1"/>
    <row r="346" spans="18:18" ht="15.75" customHeight="1"/>
    <row r="347" spans="18:18" ht="15.75" customHeight="1"/>
    <row r="348" spans="18:18" ht="15.75" customHeight="1"/>
    <row r="349" spans="18:18" ht="15.75" customHeight="1">
      <c r="R349" s="4"/>
    </row>
    <row r="350" spans="18:18" ht="15.75" customHeight="1"/>
    <row r="351" spans="18:18" ht="15.75" customHeight="1"/>
    <row r="352" spans="18:18" ht="15.75" customHeight="1"/>
    <row r="353" spans="16:16" ht="15.75" customHeight="1">
      <c r="P353" s="4"/>
    </row>
    <row r="354" spans="16:16" ht="15.75" customHeight="1"/>
    <row r="355" spans="16:16" ht="15.75" customHeight="1"/>
    <row r="356" spans="16:16" ht="15.75" customHeight="1"/>
    <row r="357" spans="16:16" ht="15.75" customHeight="1"/>
    <row r="358" spans="16:16" ht="15.75" customHeight="1"/>
    <row r="359" spans="16:16" ht="15.75" customHeight="1">
      <c r="P359" s="4"/>
    </row>
    <row r="360" spans="16:16" ht="15.75" customHeight="1"/>
    <row r="361" spans="16:16" ht="15.75" customHeight="1"/>
    <row r="362" spans="16:16" ht="15.75" customHeight="1"/>
    <row r="363" spans="16:16" ht="15.75" customHeight="1"/>
    <row r="364" spans="16:16" ht="15.75" customHeight="1"/>
    <row r="365" spans="16:16" ht="15.75" customHeight="1"/>
    <row r="366" spans="16:16" ht="15.75" customHeight="1"/>
    <row r="367" spans="16:16" ht="15.75" customHeight="1"/>
    <row r="368" spans="16:16" ht="15.75" customHeight="1"/>
    <row r="369" spans="16:16" ht="15.75" customHeight="1"/>
    <row r="370" spans="16:16" ht="15.75" customHeight="1"/>
    <row r="371" spans="16:16" ht="15.75" customHeight="1">
      <c r="P371" s="4"/>
    </row>
    <row r="372" spans="16:16" ht="15.75" customHeight="1"/>
    <row r="373" spans="16:16" ht="15.75" customHeight="1">
      <c r="P373" s="4"/>
    </row>
    <row r="374" spans="16:16" ht="15.75" customHeight="1"/>
    <row r="375" spans="16:16" ht="15.75" customHeight="1">
      <c r="P375" s="4"/>
    </row>
    <row r="376" spans="16:16" ht="15.75" customHeight="1"/>
    <row r="377" spans="16:16" ht="15.75" customHeight="1">
      <c r="P377" s="4"/>
    </row>
    <row r="378" spans="16:16" ht="15.75" customHeight="1"/>
    <row r="379" spans="16:16" ht="15.75" customHeight="1">
      <c r="P379" s="4"/>
    </row>
    <row r="380" spans="16:16" ht="15.75" customHeight="1">
      <c r="P380" s="4"/>
    </row>
    <row r="381" spans="16:16" ht="15.75" customHeight="1">
      <c r="P381" s="4"/>
    </row>
    <row r="382" spans="16:16" ht="15.75" customHeight="1">
      <c r="P382" s="4"/>
    </row>
    <row r="383" spans="16:16" ht="15.75" customHeight="1">
      <c r="P383" s="4"/>
    </row>
    <row r="384" spans="16:16" ht="15.75" customHeight="1">
      <c r="P384" s="4"/>
    </row>
    <row r="385" spans="16:16" ht="15.75" customHeight="1">
      <c r="P385" s="4"/>
    </row>
    <row r="386" spans="16:16" ht="15.75" customHeight="1">
      <c r="P386" s="4"/>
    </row>
    <row r="387" spans="16:16" ht="15.75" customHeight="1">
      <c r="P387" s="4"/>
    </row>
    <row r="388" spans="16:16" ht="15.75" customHeight="1">
      <c r="P388" s="4"/>
    </row>
    <row r="389" spans="16:16" ht="15.75" customHeight="1">
      <c r="P389" s="4"/>
    </row>
    <row r="390" spans="16:16" ht="15.75" customHeight="1">
      <c r="P390" s="4"/>
    </row>
    <row r="391" spans="16:16" ht="15.75" customHeight="1">
      <c r="P391" s="4"/>
    </row>
    <row r="392" spans="16:16" ht="15.75" customHeight="1">
      <c r="P392" s="4"/>
    </row>
    <row r="393" spans="16:16" ht="15.75" customHeight="1">
      <c r="P393" s="4"/>
    </row>
    <row r="394" spans="16:16" ht="15.75" customHeight="1">
      <c r="P394" s="4"/>
    </row>
    <row r="395" spans="16:16" ht="15.75" customHeight="1">
      <c r="P395" s="4"/>
    </row>
    <row r="396" spans="16:16" ht="15.75" customHeight="1">
      <c r="P396" s="4"/>
    </row>
    <row r="397" spans="16:16" ht="15.75" customHeight="1">
      <c r="P397" s="4"/>
    </row>
    <row r="398" spans="16:16" ht="15.75" customHeight="1">
      <c r="P398" s="4"/>
    </row>
    <row r="399" spans="16:16" ht="15.75" customHeight="1">
      <c r="P399" s="4"/>
    </row>
    <row r="400" spans="16:16" ht="15.75" customHeight="1">
      <c r="P400" s="4"/>
    </row>
    <row r="401" spans="16:16" ht="15.75" customHeight="1">
      <c r="P401" s="4"/>
    </row>
    <row r="402" spans="16:16" ht="15.75" customHeight="1">
      <c r="P402" s="4"/>
    </row>
    <row r="403" spans="16:16" ht="15.75" customHeight="1">
      <c r="P403" s="4"/>
    </row>
    <row r="404" spans="16:16" ht="15.75" customHeight="1">
      <c r="P404" s="4"/>
    </row>
    <row r="405" spans="16:16" ht="15.75" customHeight="1">
      <c r="P405" s="4"/>
    </row>
    <row r="406" spans="16:16" ht="15.75" customHeight="1">
      <c r="P406" s="4"/>
    </row>
    <row r="407" spans="16:16" ht="15.75" customHeight="1">
      <c r="P407" s="4"/>
    </row>
    <row r="408" spans="16:16" ht="15.75" customHeight="1">
      <c r="P408" s="4"/>
    </row>
    <row r="409" spans="16:16" ht="15.75" customHeight="1">
      <c r="P409" s="4"/>
    </row>
    <row r="410" spans="16:16" ht="15.75" customHeight="1">
      <c r="P410" s="4"/>
    </row>
    <row r="411" spans="16:16" ht="15.75" customHeight="1">
      <c r="P411" s="4"/>
    </row>
    <row r="412" spans="16:16" ht="15.75" customHeight="1">
      <c r="P412" s="4"/>
    </row>
    <row r="413" spans="16:16" ht="15.75" customHeight="1">
      <c r="P413" s="4"/>
    </row>
    <row r="414" spans="16:16" ht="15.75" customHeight="1">
      <c r="P414" s="4"/>
    </row>
    <row r="415" spans="16:16" ht="15.75" customHeight="1">
      <c r="P415" s="4"/>
    </row>
    <row r="416" spans="16:16" ht="15.75" customHeight="1">
      <c r="P416" s="4"/>
    </row>
    <row r="417" spans="16:16" ht="15.75" customHeight="1">
      <c r="P417" s="4"/>
    </row>
    <row r="418" spans="16:16" ht="15.75" customHeight="1">
      <c r="P418" s="4"/>
    </row>
    <row r="419" spans="16:16" ht="15.75" customHeight="1">
      <c r="P419" s="4"/>
    </row>
    <row r="420" spans="16:16" ht="15.75" customHeight="1">
      <c r="P420" s="4"/>
    </row>
    <row r="421" spans="16:16" ht="15.75" customHeight="1">
      <c r="P421" s="4"/>
    </row>
    <row r="422" spans="16:16" ht="15.75" customHeight="1">
      <c r="P422" s="4"/>
    </row>
    <row r="423" spans="16:16" ht="15.75" customHeight="1">
      <c r="P423" s="4"/>
    </row>
    <row r="424" spans="16:16" ht="15.75" customHeight="1">
      <c r="P424" s="4"/>
    </row>
    <row r="425" spans="16:16" ht="15.75" customHeight="1">
      <c r="P425" s="4"/>
    </row>
    <row r="426" spans="16:16" ht="15.75" customHeight="1">
      <c r="P426" s="4"/>
    </row>
    <row r="427" spans="16:16" ht="15.75" customHeight="1">
      <c r="P427" s="4"/>
    </row>
    <row r="428" spans="16:16" ht="15.75" customHeight="1">
      <c r="P428" s="4"/>
    </row>
    <row r="429" spans="16:16" ht="15.75" customHeight="1">
      <c r="P429" s="4"/>
    </row>
    <row r="430" spans="16:16" ht="15.75" customHeight="1">
      <c r="P430" s="4"/>
    </row>
    <row r="431" spans="16:16" ht="15.75" customHeight="1">
      <c r="P431" s="4"/>
    </row>
    <row r="432" spans="16:16" ht="15.75" customHeight="1">
      <c r="P432" s="4"/>
    </row>
    <row r="433" spans="16:16" ht="15.75" customHeight="1">
      <c r="P433" s="4"/>
    </row>
    <row r="434" spans="16:16" ht="15.75" customHeight="1">
      <c r="P434" s="4"/>
    </row>
    <row r="435" spans="16:16" ht="15.75" customHeight="1">
      <c r="P435" s="4"/>
    </row>
    <row r="436" spans="16:16" ht="15.75" customHeight="1">
      <c r="P436" s="4"/>
    </row>
    <row r="437" spans="16:16" ht="15.75" customHeight="1">
      <c r="P437" s="4"/>
    </row>
    <row r="438" spans="16:16" ht="15.75" customHeight="1">
      <c r="P438" s="4"/>
    </row>
    <row r="439" spans="16:16" ht="15.75" customHeight="1">
      <c r="P439" s="4"/>
    </row>
    <row r="440" spans="16:16" ht="15.75" customHeight="1">
      <c r="P440" s="4"/>
    </row>
    <row r="441" spans="16:16" ht="15.75" customHeight="1">
      <c r="P441" s="4"/>
    </row>
    <row r="442" spans="16:16" ht="15.75" customHeight="1">
      <c r="P442" s="4"/>
    </row>
    <row r="443" spans="16:16" ht="15.75" customHeight="1">
      <c r="P443" s="4"/>
    </row>
    <row r="444" spans="16:16" ht="15.75" customHeight="1">
      <c r="P444" s="4"/>
    </row>
    <row r="445" spans="16:16" ht="15.75" customHeight="1">
      <c r="P445" s="4"/>
    </row>
    <row r="446" spans="16:16" ht="15.75" customHeight="1">
      <c r="P446" s="4"/>
    </row>
    <row r="447" spans="16:16" ht="15.75" customHeight="1">
      <c r="P447" s="4"/>
    </row>
    <row r="448" spans="16:16" ht="15.75" customHeight="1">
      <c r="P448" s="4"/>
    </row>
    <row r="449" spans="16:16" ht="15.75" customHeight="1">
      <c r="P449" s="4"/>
    </row>
    <row r="450" spans="16:16" ht="15.75" customHeight="1">
      <c r="P450" s="4"/>
    </row>
    <row r="451" spans="16:16" ht="15.75" customHeight="1">
      <c r="P451" s="4"/>
    </row>
    <row r="452" spans="16:16" ht="15.75" customHeight="1">
      <c r="P452" s="4"/>
    </row>
    <row r="453" spans="16:16" ht="15.75" customHeight="1">
      <c r="P453" s="4"/>
    </row>
    <row r="454" spans="16:16" ht="15.75" customHeight="1">
      <c r="P454" s="4"/>
    </row>
    <row r="455" spans="16:16" ht="15.75" customHeight="1">
      <c r="P455" s="4"/>
    </row>
    <row r="456" spans="16:16" ht="15.75" customHeight="1">
      <c r="P456" s="4"/>
    </row>
    <row r="457" spans="16:16" ht="15.75" customHeight="1">
      <c r="P457" s="4"/>
    </row>
    <row r="458" spans="16:16" ht="15.75" customHeight="1">
      <c r="P458" s="4"/>
    </row>
    <row r="459" spans="16:16" ht="15.75" customHeight="1">
      <c r="P459" s="4"/>
    </row>
    <row r="460" spans="16:16" ht="15.75" customHeight="1">
      <c r="P460" s="4"/>
    </row>
    <row r="461" spans="16:16" ht="15.75" customHeight="1">
      <c r="P461" s="4"/>
    </row>
    <row r="462" spans="16:16" ht="15.75" customHeight="1">
      <c r="P462" s="4"/>
    </row>
    <row r="463" spans="16:16" ht="15.75" customHeight="1">
      <c r="P463" s="4"/>
    </row>
    <row r="464" spans="16:16" ht="15.75" customHeight="1">
      <c r="P464" s="4"/>
    </row>
    <row r="465" spans="16:18" ht="15.75" customHeight="1">
      <c r="P465" s="4"/>
    </row>
    <row r="466" spans="16:18" ht="15.75" customHeight="1">
      <c r="P466" s="4"/>
    </row>
    <row r="467" spans="16:18" ht="15.75" customHeight="1">
      <c r="P467" s="4"/>
    </row>
    <row r="468" spans="16:18" ht="15.75" customHeight="1">
      <c r="P468" s="4"/>
    </row>
    <row r="469" spans="16:18" ht="15.75" customHeight="1">
      <c r="P469" s="4"/>
    </row>
    <row r="470" spans="16:18" ht="15.75" customHeight="1">
      <c r="P470" s="4"/>
    </row>
    <row r="471" spans="16:18" ht="15.75" customHeight="1">
      <c r="P471" s="4"/>
    </row>
    <row r="472" spans="16:18" ht="15.75" customHeight="1">
      <c r="P472" s="4"/>
    </row>
    <row r="473" spans="16:18" ht="15.75" customHeight="1">
      <c r="P473" s="4"/>
    </row>
    <row r="474" spans="16:18" ht="15.75" customHeight="1">
      <c r="P474" s="4"/>
    </row>
    <row r="475" spans="16:18" ht="15.75" customHeight="1">
      <c r="P475" s="4"/>
    </row>
    <row r="476" spans="16:18" ht="15.75" customHeight="1">
      <c r="P476" s="4"/>
      <c r="R476" s="4"/>
    </row>
    <row r="477" spans="16:18" ht="15.75" customHeight="1">
      <c r="P477" s="4"/>
    </row>
    <row r="478" spans="16:18" ht="15.75" customHeight="1">
      <c r="P478" s="4"/>
    </row>
    <row r="479" spans="16:18" ht="15.75" customHeight="1">
      <c r="P479" s="4"/>
    </row>
    <row r="480" spans="16:18" ht="15.75" customHeight="1">
      <c r="P480" s="4"/>
    </row>
    <row r="481" spans="16:16" ht="15.75" customHeight="1">
      <c r="P481" s="4"/>
    </row>
    <row r="482" spans="16:16" ht="15.75" customHeight="1">
      <c r="P482" s="4"/>
    </row>
    <row r="483" spans="16:16" ht="15.75" customHeight="1">
      <c r="P483" s="4"/>
    </row>
    <row r="484" spans="16:16" ht="15.75" customHeight="1">
      <c r="P484" s="4"/>
    </row>
    <row r="485" spans="16:16" ht="15.75" customHeight="1">
      <c r="P485" s="4"/>
    </row>
    <row r="486" spans="16:16" ht="15.75" customHeight="1">
      <c r="P486" s="4"/>
    </row>
    <row r="487" spans="16:16" ht="15.75" customHeight="1">
      <c r="P487" s="4"/>
    </row>
    <row r="488" spans="16:16" ht="15.75" customHeight="1">
      <c r="P488" s="4"/>
    </row>
    <row r="489" spans="16:16" ht="15.75" customHeight="1">
      <c r="P489" s="4"/>
    </row>
    <row r="490" spans="16:16" ht="15.75" customHeight="1">
      <c r="P490" s="4"/>
    </row>
    <row r="491" spans="16:16" ht="15.75" customHeight="1">
      <c r="P491" s="4"/>
    </row>
    <row r="492" spans="16:16" ht="15.75" customHeight="1">
      <c r="P492" s="4"/>
    </row>
    <row r="493" spans="16:16" ht="15.75" customHeight="1">
      <c r="P493" s="4"/>
    </row>
    <row r="494" spans="16:16" ht="15.75" customHeight="1">
      <c r="P494" s="4"/>
    </row>
    <row r="495" spans="16:16" ht="15.75" customHeight="1">
      <c r="P495" s="4"/>
    </row>
    <row r="496" spans="16:16" ht="15.75" customHeight="1">
      <c r="P496" s="4"/>
    </row>
    <row r="497" spans="16:16" ht="15.75" customHeight="1">
      <c r="P497" s="4"/>
    </row>
    <row r="498" spans="16:16" ht="15.75" customHeight="1">
      <c r="P498" s="4"/>
    </row>
    <row r="499" spans="16:16" ht="15.75" customHeight="1">
      <c r="P499" s="4"/>
    </row>
    <row r="500" spans="16:16" ht="15.75" customHeight="1">
      <c r="P500" s="4"/>
    </row>
    <row r="501" spans="16:16" ht="15.75" customHeight="1">
      <c r="P501" s="4"/>
    </row>
    <row r="502" spans="16:16" ht="15.75" customHeight="1">
      <c r="P502" s="4"/>
    </row>
    <row r="503" spans="16:16" ht="15.75" customHeight="1">
      <c r="P503" s="4"/>
    </row>
    <row r="504" spans="16:16" ht="15.75" customHeight="1">
      <c r="P504" s="4"/>
    </row>
    <row r="505" spans="16:16" ht="15.75" customHeight="1">
      <c r="P505" s="4"/>
    </row>
    <row r="506" spans="16:16" ht="15.75" customHeight="1">
      <c r="P506" s="4"/>
    </row>
    <row r="507" spans="16:16" ht="15.75" customHeight="1"/>
    <row r="508" spans="16:16" ht="15.75" customHeight="1"/>
    <row r="509" spans="16:16" ht="15.75" customHeight="1"/>
    <row r="510" spans="16:16" ht="15.75" customHeight="1"/>
    <row r="511" spans="16:16" ht="15.75" customHeight="1"/>
    <row r="512" spans="16:1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278:I278"/>
    <mergeCell ref="K278:L278"/>
    <mergeCell ref="A279:B279"/>
    <mergeCell ref="A1:I1"/>
    <mergeCell ref="C2:G2"/>
    <mergeCell ref="F7:H7"/>
    <mergeCell ref="J7:K7"/>
    <mergeCell ref="A8:B8"/>
    <mergeCell ref="A272:J272"/>
    <mergeCell ref="C273:H273"/>
  </mergeCells>
  <pageMargins left="0.5" right="0.5" top="0.75" bottom="0.75" header="0" footer="0"/>
  <pageSetup paperSize="5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topLeftCell="A21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588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589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590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591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592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1</v>
      </c>
      <c r="B12" s="49" t="s">
        <v>593</v>
      </c>
      <c r="C12" s="49" t="s">
        <v>246</v>
      </c>
      <c r="D12" s="49" t="s">
        <v>594</v>
      </c>
      <c r="E12" s="49" t="s">
        <v>184</v>
      </c>
      <c r="F12" s="49"/>
      <c r="G12" s="49" t="s">
        <v>35</v>
      </c>
      <c r="H12" s="50">
        <v>4000</v>
      </c>
      <c r="I12" s="55">
        <v>600</v>
      </c>
      <c r="J12" s="49" t="s">
        <v>36</v>
      </c>
      <c r="K12" s="49" t="s">
        <v>37</v>
      </c>
    </row>
    <row r="13" spans="1:11">
      <c r="A13" s="49">
        <v>1</v>
      </c>
      <c r="B13" s="49" t="s">
        <v>595</v>
      </c>
      <c r="C13" s="49" t="s">
        <v>227</v>
      </c>
      <c r="D13" s="49" t="s">
        <v>596</v>
      </c>
      <c r="E13" s="49" t="s">
        <v>75</v>
      </c>
      <c r="F13" s="49"/>
      <c r="G13" s="49" t="s">
        <v>120</v>
      </c>
      <c r="H13" s="50">
        <v>40</v>
      </c>
      <c r="I13" s="55">
        <v>200</v>
      </c>
      <c r="J13" s="49" t="s">
        <v>36</v>
      </c>
      <c r="K13" s="49" t="s">
        <v>37</v>
      </c>
    </row>
    <row r="14" spans="1:11">
      <c r="A14" s="49">
        <v>1</v>
      </c>
      <c r="B14" s="49" t="s">
        <v>597</v>
      </c>
      <c r="C14" s="49" t="s">
        <v>227</v>
      </c>
      <c r="D14" s="49" t="s">
        <v>598</v>
      </c>
      <c r="E14" s="49" t="s">
        <v>232</v>
      </c>
      <c r="F14" s="49"/>
      <c r="G14" s="49" t="s">
        <v>35</v>
      </c>
      <c r="H14" s="50">
        <v>200</v>
      </c>
      <c r="I14" s="55">
        <v>30</v>
      </c>
      <c r="J14" s="49" t="s">
        <v>36</v>
      </c>
      <c r="K14" s="49" t="s">
        <v>37</v>
      </c>
    </row>
    <row r="15" spans="1:11">
      <c r="A15" s="49">
        <v>1</v>
      </c>
      <c r="B15" s="49" t="s">
        <v>599</v>
      </c>
      <c r="C15" s="49" t="s">
        <v>227</v>
      </c>
      <c r="D15" s="49" t="s">
        <v>32</v>
      </c>
      <c r="E15" s="49" t="s">
        <v>600</v>
      </c>
      <c r="F15" s="49"/>
      <c r="G15" s="49" t="s">
        <v>35</v>
      </c>
      <c r="H15" s="50">
        <v>260</v>
      </c>
      <c r="I15" s="55">
        <v>39</v>
      </c>
      <c r="J15" s="49" t="s">
        <v>36</v>
      </c>
      <c r="K15" s="49" t="s">
        <v>37</v>
      </c>
    </row>
    <row r="16" spans="1:11">
      <c r="A16" s="49">
        <v>1</v>
      </c>
      <c r="B16" s="49" t="s">
        <v>601</v>
      </c>
      <c r="C16" s="49" t="s">
        <v>227</v>
      </c>
      <c r="D16" s="49" t="s">
        <v>602</v>
      </c>
      <c r="E16" s="49" t="s">
        <v>235</v>
      </c>
      <c r="F16" s="49"/>
      <c r="G16" s="49" t="s">
        <v>35</v>
      </c>
      <c r="H16" s="50">
        <v>80</v>
      </c>
      <c r="I16" s="55"/>
      <c r="J16" s="49" t="s">
        <v>43</v>
      </c>
      <c r="K16" s="49" t="s">
        <v>37</v>
      </c>
    </row>
    <row r="17" spans="1:11">
      <c r="A17" s="49">
        <v>1</v>
      </c>
      <c r="B17" s="49" t="s">
        <v>603</v>
      </c>
      <c r="C17" s="49" t="s">
        <v>227</v>
      </c>
      <c r="D17" s="49" t="s">
        <v>604</v>
      </c>
      <c r="E17" s="49" t="s">
        <v>235</v>
      </c>
      <c r="F17" s="49"/>
      <c r="G17" s="49" t="s">
        <v>242</v>
      </c>
      <c r="H17" s="50">
        <v>20</v>
      </c>
      <c r="I17" s="55">
        <v>60</v>
      </c>
      <c r="J17" s="49" t="s">
        <v>36</v>
      </c>
      <c r="K17" s="49" t="s">
        <v>536</v>
      </c>
    </row>
    <row r="18" spans="1:11">
      <c r="A18" s="49">
        <v>1</v>
      </c>
      <c r="B18" s="49" t="s">
        <v>603</v>
      </c>
      <c r="C18" s="49" t="s">
        <v>227</v>
      </c>
      <c r="D18" s="49" t="s">
        <v>604</v>
      </c>
      <c r="E18" s="49" t="s">
        <v>235</v>
      </c>
      <c r="F18" s="49"/>
      <c r="G18" s="49" t="s">
        <v>273</v>
      </c>
      <c r="H18" s="50">
        <v>20</v>
      </c>
      <c r="I18" s="55">
        <v>60</v>
      </c>
      <c r="J18" s="49" t="s">
        <v>36</v>
      </c>
      <c r="K18" s="49" t="s">
        <v>536</v>
      </c>
    </row>
    <row r="19" spans="1:11">
      <c r="A19" s="49">
        <v>2</v>
      </c>
      <c r="B19" s="49" t="s">
        <v>605</v>
      </c>
      <c r="C19" s="49" t="s">
        <v>246</v>
      </c>
      <c r="D19" s="49" t="s">
        <v>464</v>
      </c>
      <c r="E19" s="49" t="s">
        <v>251</v>
      </c>
      <c r="F19" s="49"/>
      <c r="G19" s="49" t="s">
        <v>242</v>
      </c>
      <c r="H19" s="50">
        <v>10</v>
      </c>
      <c r="I19" s="55">
        <v>30</v>
      </c>
      <c r="J19" s="49" t="s">
        <v>36</v>
      </c>
      <c r="K19" s="49" t="s">
        <v>536</v>
      </c>
    </row>
    <row r="20" spans="1:11">
      <c r="A20" s="49">
        <v>2</v>
      </c>
      <c r="B20" s="49" t="s">
        <v>606</v>
      </c>
      <c r="C20" s="49" t="s">
        <v>227</v>
      </c>
      <c r="D20" s="49" t="s">
        <v>607</v>
      </c>
      <c r="E20" s="49" t="s">
        <v>235</v>
      </c>
      <c r="F20" s="49"/>
      <c r="G20" s="49" t="s">
        <v>242</v>
      </c>
      <c r="H20" s="50">
        <v>14</v>
      </c>
      <c r="I20" s="55">
        <v>42</v>
      </c>
      <c r="J20" s="49" t="s">
        <v>36</v>
      </c>
      <c r="K20" s="49" t="s">
        <v>536</v>
      </c>
    </row>
    <row r="21" spans="1:11" ht="15.75" customHeight="1">
      <c r="A21" s="49">
        <v>2</v>
      </c>
      <c r="B21" s="49" t="s">
        <v>608</v>
      </c>
      <c r="C21" s="49" t="s">
        <v>227</v>
      </c>
      <c r="D21" s="49" t="s">
        <v>609</v>
      </c>
      <c r="E21" s="49" t="s">
        <v>51</v>
      </c>
      <c r="F21" s="49"/>
      <c r="G21" s="49" t="s">
        <v>35</v>
      </c>
      <c r="H21" s="50">
        <v>160</v>
      </c>
      <c r="I21" s="55">
        <v>40</v>
      </c>
      <c r="J21" s="49" t="s">
        <v>36</v>
      </c>
      <c r="K21" s="49" t="s">
        <v>536</v>
      </c>
    </row>
    <row r="22" spans="1:11" ht="15.75" customHeight="1">
      <c r="A22" s="49">
        <v>3</v>
      </c>
      <c r="B22" s="49" t="s">
        <v>610</v>
      </c>
      <c r="C22" s="49" t="s">
        <v>227</v>
      </c>
      <c r="D22" s="49" t="s">
        <v>611</v>
      </c>
      <c r="E22" s="49" t="s">
        <v>48</v>
      </c>
      <c r="F22" s="49"/>
      <c r="G22" s="49" t="s">
        <v>242</v>
      </c>
      <c r="H22" s="50">
        <v>10</v>
      </c>
      <c r="I22" s="55">
        <v>30</v>
      </c>
      <c r="J22" s="49" t="s">
        <v>36</v>
      </c>
      <c r="K22" s="49" t="s">
        <v>536</v>
      </c>
    </row>
    <row r="23" spans="1:11" ht="15.75" customHeight="1">
      <c r="A23" s="49">
        <v>3</v>
      </c>
      <c r="B23" s="49" t="s">
        <v>274</v>
      </c>
      <c r="C23" s="49" t="s">
        <v>246</v>
      </c>
      <c r="D23" s="49" t="s">
        <v>244</v>
      </c>
      <c r="E23" s="49" t="s">
        <v>235</v>
      </c>
      <c r="F23" s="49"/>
      <c r="G23" s="49" t="s">
        <v>35</v>
      </c>
      <c r="H23" s="50">
        <v>100</v>
      </c>
      <c r="I23" s="55">
        <v>25</v>
      </c>
      <c r="J23" s="49" t="s">
        <v>36</v>
      </c>
      <c r="K23" s="49" t="s">
        <v>536</v>
      </c>
    </row>
    <row r="24" spans="1:11" ht="15.75" customHeight="1">
      <c r="A24" s="49">
        <v>3</v>
      </c>
      <c r="B24" s="49" t="s">
        <v>274</v>
      </c>
      <c r="C24" s="49" t="s">
        <v>246</v>
      </c>
      <c r="D24" s="49" t="s">
        <v>244</v>
      </c>
      <c r="E24" s="49" t="s">
        <v>235</v>
      </c>
      <c r="F24" s="49"/>
      <c r="G24" s="49" t="s">
        <v>120</v>
      </c>
      <c r="H24" s="50">
        <v>10</v>
      </c>
      <c r="I24" s="55">
        <v>100</v>
      </c>
      <c r="J24" s="49" t="s">
        <v>36</v>
      </c>
      <c r="K24" s="49" t="s">
        <v>536</v>
      </c>
    </row>
    <row r="25" spans="1:11" ht="15.75" customHeight="1">
      <c r="A25" s="49">
        <v>4</v>
      </c>
      <c r="B25" s="49" t="s">
        <v>612</v>
      </c>
      <c r="C25" s="49" t="s">
        <v>246</v>
      </c>
      <c r="D25" s="49" t="s">
        <v>613</v>
      </c>
      <c r="E25" s="49" t="s">
        <v>507</v>
      </c>
      <c r="F25" s="49"/>
      <c r="G25" s="49" t="s">
        <v>35</v>
      </c>
      <c r="H25" s="50">
        <v>1000</v>
      </c>
      <c r="I25" s="55">
        <v>150</v>
      </c>
      <c r="J25" s="49" t="s">
        <v>36</v>
      </c>
      <c r="K25" s="49" t="s">
        <v>37</v>
      </c>
    </row>
    <row r="26" spans="1:11" ht="15.75" customHeight="1">
      <c r="A26" s="49">
        <v>4</v>
      </c>
      <c r="B26" s="49" t="s">
        <v>614</v>
      </c>
      <c r="C26" s="49" t="s">
        <v>227</v>
      </c>
      <c r="D26" s="49" t="s">
        <v>548</v>
      </c>
      <c r="E26" s="49" t="s">
        <v>232</v>
      </c>
      <c r="F26" s="49"/>
      <c r="G26" s="49" t="s">
        <v>35</v>
      </c>
      <c r="H26" s="50">
        <v>1000</v>
      </c>
      <c r="I26" s="55">
        <v>150</v>
      </c>
      <c r="J26" s="49" t="s">
        <v>36</v>
      </c>
      <c r="K26" s="49" t="s">
        <v>37</v>
      </c>
    </row>
    <row r="27" spans="1:11" ht="15.75" customHeight="1">
      <c r="A27" s="49">
        <v>4</v>
      </c>
      <c r="B27" s="49" t="s">
        <v>615</v>
      </c>
      <c r="C27" s="49" t="s">
        <v>227</v>
      </c>
      <c r="D27" s="49" t="s">
        <v>616</v>
      </c>
      <c r="E27" s="49" t="s">
        <v>507</v>
      </c>
      <c r="F27" s="49"/>
      <c r="G27" s="49" t="s">
        <v>35</v>
      </c>
      <c r="H27" s="50">
        <v>3000</v>
      </c>
      <c r="I27" s="55">
        <v>750</v>
      </c>
      <c r="J27" s="49" t="s">
        <v>36</v>
      </c>
      <c r="K27" s="49" t="s">
        <v>37</v>
      </c>
    </row>
    <row r="28" spans="1:11" ht="15.75" customHeight="1">
      <c r="A28" s="49">
        <v>4</v>
      </c>
      <c r="B28" s="49" t="s">
        <v>617</v>
      </c>
      <c r="C28" s="49" t="s">
        <v>227</v>
      </c>
      <c r="D28" s="49" t="s">
        <v>428</v>
      </c>
      <c r="E28" s="49" t="s">
        <v>254</v>
      </c>
      <c r="F28" s="49"/>
      <c r="G28" s="49" t="s">
        <v>35</v>
      </c>
      <c r="H28" s="50">
        <v>1000</v>
      </c>
      <c r="I28" s="55">
        <v>150</v>
      </c>
      <c r="J28" s="49" t="s">
        <v>36</v>
      </c>
      <c r="K28" s="49" t="s">
        <v>37</v>
      </c>
    </row>
    <row r="29" spans="1:11" ht="15.75" customHeight="1">
      <c r="A29" s="49">
        <v>4</v>
      </c>
      <c r="B29" s="49" t="s">
        <v>618</v>
      </c>
      <c r="C29" s="49" t="s">
        <v>227</v>
      </c>
      <c r="D29" s="49" t="s">
        <v>619</v>
      </c>
      <c r="E29" s="49" t="s">
        <v>193</v>
      </c>
      <c r="F29" s="49"/>
      <c r="G29" s="49" t="s">
        <v>35</v>
      </c>
      <c r="H29" s="50">
        <v>5000</v>
      </c>
      <c r="I29" s="55">
        <v>750</v>
      </c>
      <c r="J29" s="49" t="s">
        <v>36</v>
      </c>
      <c r="K29" s="49" t="s">
        <v>37</v>
      </c>
    </row>
    <row r="30" spans="1:11" ht="15.75" customHeight="1">
      <c r="A30" s="49">
        <v>4</v>
      </c>
      <c r="B30" s="49" t="s">
        <v>620</v>
      </c>
      <c r="C30" s="49" t="s">
        <v>227</v>
      </c>
      <c r="D30" s="49" t="s">
        <v>290</v>
      </c>
      <c r="E30" s="49" t="s">
        <v>232</v>
      </c>
      <c r="F30" s="49"/>
      <c r="G30" s="49" t="s">
        <v>35</v>
      </c>
      <c r="H30" s="50">
        <v>1000</v>
      </c>
      <c r="I30" s="55">
        <v>150</v>
      </c>
      <c r="J30" s="49" t="s">
        <v>36</v>
      </c>
      <c r="K30" s="49" t="s">
        <v>37</v>
      </c>
    </row>
    <row r="31" spans="1:11" ht="15.75" customHeight="1">
      <c r="A31" s="49">
        <v>4</v>
      </c>
      <c r="B31" s="49" t="s">
        <v>621</v>
      </c>
      <c r="C31" s="49" t="s">
        <v>227</v>
      </c>
      <c r="D31" s="49" t="s">
        <v>622</v>
      </c>
      <c r="E31" s="49" t="s">
        <v>51</v>
      </c>
      <c r="F31" s="49"/>
      <c r="G31" s="49" t="s">
        <v>242</v>
      </c>
      <c r="H31" s="50">
        <v>40</v>
      </c>
      <c r="I31" s="55">
        <v>120</v>
      </c>
      <c r="J31" s="49" t="s">
        <v>36</v>
      </c>
      <c r="K31" s="49" t="s">
        <v>37</v>
      </c>
    </row>
    <row r="32" spans="1:11" ht="15.75" customHeight="1">
      <c r="A32" s="49">
        <v>4</v>
      </c>
      <c r="B32" s="49" t="s">
        <v>623</v>
      </c>
      <c r="C32" s="49" t="s">
        <v>227</v>
      </c>
      <c r="D32" s="49" t="s">
        <v>330</v>
      </c>
      <c r="E32" s="49" t="s">
        <v>193</v>
      </c>
      <c r="F32" s="49"/>
      <c r="G32" s="49" t="s">
        <v>35</v>
      </c>
      <c r="H32" s="50">
        <v>3500</v>
      </c>
      <c r="I32" s="55">
        <v>525</v>
      </c>
      <c r="J32" s="49" t="s">
        <v>36</v>
      </c>
      <c r="K32" s="49" t="s">
        <v>37</v>
      </c>
    </row>
    <row r="33" spans="1:11" ht="15.75" customHeight="1">
      <c r="A33" s="49">
        <v>4</v>
      </c>
      <c r="B33" s="49" t="s">
        <v>624</v>
      </c>
      <c r="C33" s="49" t="s">
        <v>227</v>
      </c>
      <c r="D33" s="49" t="s">
        <v>625</v>
      </c>
      <c r="E33" s="49" t="s">
        <v>51</v>
      </c>
      <c r="F33" s="49"/>
      <c r="G33" s="49" t="s">
        <v>35</v>
      </c>
      <c r="H33" s="50">
        <v>1000</v>
      </c>
      <c r="I33" s="55">
        <v>150</v>
      </c>
      <c r="J33" s="49" t="s">
        <v>36</v>
      </c>
      <c r="K33" s="49" t="s">
        <v>37</v>
      </c>
    </row>
    <row r="34" spans="1:11" ht="15.75" customHeight="1">
      <c r="A34" s="49">
        <v>4</v>
      </c>
      <c r="B34" s="49" t="s">
        <v>626</v>
      </c>
      <c r="C34" s="49" t="s">
        <v>246</v>
      </c>
      <c r="D34" s="49" t="s">
        <v>548</v>
      </c>
      <c r="E34" s="49" t="s">
        <v>232</v>
      </c>
      <c r="F34" s="49"/>
      <c r="G34" s="49" t="s">
        <v>35</v>
      </c>
      <c r="H34" s="50">
        <v>1500</v>
      </c>
      <c r="I34" s="55">
        <v>225</v>
      </c>
      <c r="J34" s="49" t="s">
        <v>36</v>
      </c>
      <c r="K34" s="49" t="s">
        <v>37</v>
      </c>
    </row>
    <row r="35" spans="1:11" ht="15.75" customHeight="1">
      <c r="A35" s="49">
        <v>4</v>
      </c>
      <c r="B35" s="49" t="s">
        <v>627</v>
      </c>
      <c r="C35" s="49" t="s">
        <v>227</v>
      </c>
      <c r="D35" s="49" t="s">
        <v>33</v>
      </c>
      <c r="E35" s="49" t="s">
        <v>307</v>
      </c>
      <c r="F35" s="49"/>
      <c r="G35" s="49" t="s">
        <v>35</v>
      </c>
      <c r="H35" s="50">
        <v>160</v>
      </c>
      <c r="I35" s="55">
        <v>24</v>
      </c>
      <c r="J35" s="49" t="s">
        <v>36</v>
      </c>
      <c r="K35" s="49" t="s">
        <v>37</v>
      </c>
    </row>
    <row r="36" spans="1:11" ht="15.75" customHeight="1">
      <c r="A36" s="49">
        <v>4</v>
      </c>
      <c r="B36" s="49" t="s">
        <v>477</v>
      </c>
      <c r="C36" s="49" t="s">
        <v>246</v>
      </c>
      <c r="D36" s="49" t="s">
        <v>264</v>
      </c>
      <c r="E36" s="49" t="s">
        <v>184</v>
      </c>
      <c r="F36" s="49"/>
      <c r="G36" s="49" t="s">
        <v>35</v>
      </c>
      <c r="H36" s="50">
        <v>6500</v>
      </c>
      <c r="I36" s="55">
        <v>1625</v>
      </c>
      <c r="J36" s="49" t="s">
        <v>36</v>
      </c>
      <c r="K36" s="49" t="s">
        <v>37</v>
      </c>
    </row>
    <row r="37" spans="1:11" ht="15.75" customHeight="1">
      <c r="A37" s="49">
        <v>4</v>
      </c>
      <c r="B37" s="49" t="s">
        <v>628</v>
      </c>
      <c r="C37" s="49" t="s">
        <v>227</v>
      </c>
      <c r="D37" s="49" t="s">
        <v>330</v>
      </c>
      <c r="E37" s="49" t="s">
        <v>254</v>
      </c>
      <c r="F37" s="49"/>
      <c r="G37" s="49" t="s">
        <v>35</v>
      </c>
      <c r="H37" s="50">
        <v>500</v>
      </c>
      <c r="I37" s="55">
        <v>75</v>
      </c>
      <c r="J37" s="49" t="s">
        <v>36</v>
      </c>
      <c r="K37" s="49" t="s">
        <v>37</v>
      </c>
    </row>
    <row r="38" spans="1:11" ht="15.75" customHeight="1">
      <c r="A38" s="49">
        <v>4</v>
      </c>
      <c r="B38" s="49" t="s">
        <v>629</v>
      </c>
      <c r="C38" s="49" t="s">
        <v>227</v>
      </c>
      <c r="D38" s="49" t="s">
        <v>234</v>
      </c>
      <c r="E38" s="49" t="s">
        <v>235</v>
      </c>
      <c r="F38" s="49"/>
      <c r="G38" s="49" t="s">
        <v>35</v>
      </c>
      <c r="H38" s="50">
        <v>100</v>
      </c>
      <c r="I38" s="55">
        <v>25</v>
      </c>
      <c r="J38" s="49" t="s">
        <v>36</v>
      </c>
      <c r="K38" s="49" t="s">
        <v>37</v>
      </c>
    </row>
    <row r="39" spans="1:11" ht="15.75" customHeight="1">
      <c r="A39" s="49">
        <v>5</v>
      </c>
      <c r="B39" s="49" t="s">
        <v>630</v>
      </c>
      <c r="C39" s="49" t="s">
        <v>227</v>
      </c>
      <c r="D39" s="49" t="s">
        <v>548</v>
      </c>
      <c r="E39" s="49" t="s">
        <v>232</v>
      </c>
      <c r="F39" s="49"/>
      <c r="G39" s="49" t="s">
        <v>35</v>
      </c>
      <c r="H39" s="50">
        <v>2000</v>
      </c>
      <c r="I39" s="55">
        <v>300</v>
      </c>
      <c r="J39" s="49" t="s">
        <v>36</v>
      </c>
      <c r="K39" s="49" t="s">
        <v>37</v>
      </c>
    </row>
    <row r="40" spans="1:11" ht="15.75" customHeight="1">
      <c r="A40" s="49">
        <v>5</v>
      </c>
      <c r="B40" s="49" t="s">
        <v>631</v>
      </c>
      <c r="C40" s="49" t="s">
        <v>227</v>
      </c>
      <c r="D40" s="49" t="s">
        <v>231</v>
      </c>
      <c r="E40" s="49" t="s">
        <v>232</v>
      </c>
      <c r="F40" s="49"/>
      <c r="G40" s="49" t="s">
        <v>35</v>
      </c>
      <c r="H40" s="50">
        <v>2000</v>
      </c>
      <c r="I40" s="55">
        <v>500</v>
      </c>
      <c r="J40" s="49" t="s">
        <v>36</v>
      </c>
      <c r="K40" s="49" t="s">
        <v>37</v>
      </c>
    </row>
    <row r="41" spans="1:11" ht="15.75" customHeight="1">
      <c r="A41" s="49">
        <v>5</v>
      </c>
      <c r="B41" s="49" t="s">
        <v>632</v>
      </c>
      <c r="C41" s="49" t="s">
        <v>227</v>
      </c>
      <c r="D41" s="49" t="s">
        <v>262</v>
      </c>
      <c r="E41" s="49" t="s">
        <v>232</v>
      </c>
      <c r="F41" s="49"/>
      <c r="G41" s="49" t="s">
        <v>35</v>
      </c>
      <c r="H41" s="50">
        <v>500</v>
      </c>
      <c r="I41" s="55">
        <v>75</v>
      </c>
      <c r="J41" s="49" t="s">
        <v>36</v>
      </c>
      <c r="K41" s="49" t="s">
        <v>37</v>
      </c>
    </row>
    <row r="42" spans="1:11" ht="15.75" customHeight="1">
      <c r="A42" s="49">
        <v>5</v>
      </c>
      <c r="B42" s="49" t="s">
        <v>633</v>
      </c>
      <c r="C42" s="49" t="s">
        <v>227</v>
      </c>
      <c r="D42" s="49" t="s">
        <v>295</v>
      </c>
      <c r="E42" s="49" t="s">
        <v>248</v>
      </c>
      <c r="F42" s="49"/>
      <c r="G42" s="49" t="s">
        <v>35</v>
      </c>
      <c r="H42" s="50">
        <v>2000</v>
      </c>
      <c r="I42" s="55">
        <v>300</v>
      </c>
      <c r="J42" s="49" t="s">
        <v>36</v>
      </c>
      <c r="K42" s="49" t="s">
        <v>37</v>
      </c>
    </row>
    <row r="43" spans="1:11" ht="15.75" customHeight="1">
      <c r="A43" s="49">
        <v>5</v>
      </c>
      <c r="B43" s="49" t="s">
        <v>494</v>
      </c>
      <c r="C43" s="49" t="s">
        <v>227</v>
      </c>
      <c r="D43" s="49" t="s">
        <v>495</v>
      </c>
      <c r="E43" s="49" t="s">
        <v>199</v>
      </c>
      <c r="F43" s="49"/>
      <c r="G43" s="49" t="s">
        <v>35</v>
      </c>
      <c r="H43" s="50">
        <v>500</v>
      </c>
      <c r="I43" s="55">
        <v>75</v>
      </c>
      <c r="J43" s="49" t="s">
        <v>36</v>
      </c>
      <c r="K43" s="49" t="s">
        <v>37</v>
      </c>
    </row>
    <row r="44" spans="1:11" ht="15.75" customHeight="1">
      <c r="A44" s="49">
        <v>5</v>
      </c>
      <c r="B44" s="49" t="s">
        <v>494</v>
      </c>
      <c r="C44" s="49" t="s">
        <v>227</v>
      </c>
      <c r="D44" s="49" t="s">
        <v>495</v>
      </c>
      <c r="E44" s="49" t="s">
        <v>199</v>
      </c>
      <c r="F44" s="49"/>
      <c r="G44" s="49" t="s">
        <v>242</v>
      </c>
      <c r="H44" s="50">
        <v>30</v>
      </c>
      <c r="I44" s="55">
        <v>90</v>
      </c>
      <c r="J44" s="49" t="s">
        <v>36</v>
      </c>
      <c r="K44" s="49" t="s">
        <v>37</v>
      </c>
    </row>
    <row r="45" spans="1:11" ht="15.75" customHeight="1">
      <c r="A45" s="49">
        <v>5</v>
      </c>
      <c r="B45" s="49" t="s">
        <v>494</v>
      </c>
      <c r="C45" s="49" t="s">
        <v>227</v>
      </c>
      <c r="D45" s="49" t="s">
        <v>495</v>
      </c>
      <c r="E45" s="49" t="s">
        <v>199</v>
      </c>
      <c r="F45" s="49"/>
      <c r="G45" s="49" t="s">
        <v>273</v>
      </c>
      <c r="H45" s="50">
        <v>30</v>
      </c>
      <c r="I45" s="55">
        <v>90</v>
      </c>
      <c r="J45" s="49" t="s">
        <v>36</v>
      </c>
      <c r="K45" s="49" t="s">
        <v>37</v>
      </c>
    </row>
    <row r="46" spans="1:11" ht="15.75" customHeight="1">
      <c r="A46" s="49">
        <v>5</v>
      </c>
      <c r="B46" s="49" t="s">
        <v>634</v>
      </c>
      <c r="C46" s="49" t="s">
        <v>227</v>
      </c>
      <c r="D46" s="49" t="s">
        <v>505</v>
      </c>
      <c r="E46" s="49" t="s">
        <v>235</v>
      </c>
      <c r="F46" s="49"/>
      <c r="G46" s="49" t="s">
        <v>242</v>
      </c>
      <c r="H46" s="50">
        <v>10</v>
      </c>
      <c r="I46" s="55">
        <v>30</v>
      </c>
      <c r="J46" s="49" t="s">
        <v>36</v>
      </c>
      <c r="K46" s="49" t="s">
        <v>37</v>
      </c>
    </row>
    <row r="47" spans="1:11" ht="15.75" customHeight="1">
      <c r="A47" s="49">
        <v>5</v>
      </c>
      <c r="B47" s="49" t="s">
        <v>634</v>
      </c>
      <c r="C47" s="49" t="s">
        <v>227</v>
      </c>
      <c r="D47" s="49" t="s">
        <v>505</v>
      </c>
      <c r="E47" s="49" t="s">
        <v>235</v>
      </c>
      <c r="F47" s="49"/>
      <c r="G47" s="49" t="s">
        <v>273</v>
      </c>
      <c r="H47" s="50">
        <v>10</v>
      </c>
      <c r="I47" s="55">
        <v>30</v>
      </c>
      <c r="J47" s="49" t="s">
        <v>36</v>
      </c>
      <c r="K47" s="49" t="s">
        <v>37</v>
      </c>
    </row>
    <row r="48" spans="1:11" ht="15.75" customHeight="1">
      <c r="A48" s="49">
        <v>5</v>
      </c>
      <c r="B48" s="49" t="s">
        <v>635</v>
      </c>
      <c r="C48" s="49" t="s">
        <v>227</v>
      </c>
      <c r="D48" s="49" t="s">
        <v>607</v>
      </c>
      <c r="E48" s="49" t="s">
        <v>235</v>
      </c>
      <c r="F48" s="49"/>
      <c r="G48" s="49" t="s">
        <v>242</v>
      </c>
      <c r="H48" s="50">
        <v>10</v>
      </c>
      <c r="I48" s="55">
        <v>30</v>
      </c>
      <c r="J48" s="49" t="s">
        <v>36</v>
      </c>
      <c r="K48" s="49" t="s">
        <v>37</v>
      </c>
    </row>
    <row r="49" spans="1:11" ht="15.75" customHeight="1">
      <c r="A49" s="49">
        <v>5</v>
      </c>
      <c r="B49" s="49" t="s">
        <v>636</v>
      </c>
      <c r="C49" s="49" t="s">
        <v>227</v>
      </c>
      <c r="D49" s="49" t="s">
        <v>385</v>
      </c>
      <c r="E49" s="49" t="s">
        <v>232</v>
      </c>
      <c r="F49" s="49"/>
      <c r="G49" s="49" t="s">
        <v>35</v>
      </c>
      <c r="H49" s="50">
        <v>1000</v>
      </c>
      <c r="I49" s="55">
        <v>150</v>
      </c>
      <c r="J49" s="49" t="s">
        <v>36</v>
      </c>
      <c r="K49" s="49" t="s">
        <v>37</v>
      </c>
    </row>
    <row r="50" spans="1:11" ht="15.75" customHeight="1">
      <c r="A50" s="49">
        <v>5</v>
      </c>
      <c r="B50" s="49" t="s">
        <v>637</v>
      </c>
      <c r="C50" s="49" t="s">
        <v>227</v>
      </c>
      <c r="D50" s="49" t="s">
        <v>375</v>
      </c>
      <c r="E50" s="49" t="s">
        <v>235</v>
      </c>
      <c r="F50" s="49"/>
      <c r="G50" s="49" t="s">
        <v>242</v>
      </c>
      <c r="H50" s="50">
        <v>10</v>
      </c>
      <c r="I50" s="55">
        <v>30</v>
      </c>
      <c r="J50" s="49" t="s">
        <v>36</v>
      </c>
      <c r="K50" s="49" t="s">
        <v>37</v>
      </c>
    </row>
    <row r="51" spans="1:11" ht="15.75" customHeight="1">
      <c r="A51" s="49">
        <v>5</v>
      </c>
      <c r="B51" s="49" t="s">
        <v>638</v>
      </c>
      <c r="C51" s="49" t="s">
        <v>227</v>
      </c>
      <c r="D51" s="49" t="s">
        <v>290</v>
      </c>
      <c r="E51" s="49" t="s">
        <v>232</v>
      </c>
      <c r="F51" s="49"/>
      <c r="G51" s="49" t="s">
        <v>35</v>
      </c>
      <c r="H51" s="50">
        <v>2000</v>
      </c>
      <c r="I51" s="55">
        <v>300</v>
      </c>
      <c r="J51" s="49" t="s">
        <v>36</v>
      </c>
      <c r="K51" s="49" t="s">
        <v>37</v>
      </c>
    </row>
    <row r="52" spans="1:11" ht="15.75" customHeight="1">
      <c r="A52" s="49">
        <v>5</v>
      </c>
      <c r="B52" s="49" t="s">
        <v>639</v>
      </c>
      <c r="C52" s="49" t="s">
        <v>227</v>
      </c>
      <c r="D52" s="49" t="s">
        <v>640</v>
      </c>
      <c r="E52" s="49" t="s">
        <v>251</v>
      </c>
      <c r="F52" s="49"/>
      <c r="G52" s="49" t="s">
        <v>242</v>
      </c>
      <c r="H52" s="50">
        <v>60</v>
      </c>
      <c r="I52" s="55">
        <v>180</v>
      </c>
      <c r="J52" s="49" t="s">
        <v>36</v>
      </c>
      <c r="K52" s="49" t="s">
        <v>37</v>
      </c>
    </row>
    <row r="53" spans="1:11" ht="15.75" customHeight="1">
      <c r="A53" s="49">
        <v>6</v>
      </c>
      <c r="B53" s="49" t="s">
        <v>630</v>
      </c>
      <c r="C53" s="49" t="s">
        <v>227</v>
      </c>
      <c r="D53" s="49" t="s">
        <v>548</v>
      </c>
      <c r="E53" s="49" t="s">
        <v>232</v>
      </c>
      <c r="F53" s="49"/>
      <c r="G53" s="49" t="s">
        <v>35</v>
      </c>
      <c r="H53" s="50">
        <v>3500</v>
      </c>
      <c r="I53" s="55">
        <v>525</v>
      </c>
      <c r="J53" s="49" t="s">
        <v>36</v>
      </c>
      <c r="K53" s="49" t="s">
        <v>37</v>
      </c>
    </row>
    <row r="54" spans="1:11" ht="15.75" customHeight="1">
      <c r="A54" s="49">
        <v>6</v>
      </c>
      <c r="B54" s="49" t="s">
        <v>641</v>
      </c>
      <c r="C54" s="49" t="s">
        <v>246</v>
      </c>
      <c r="D54" s="49" t="s">
        <v>616</v>
      </c>
      <c r="E54" s="49" t="s">
        <v>507</v>
      </c>
      <c r="F54" s="49"/>
      <c r="G54" s="49" t="s">
        <v>35</v>
      </c>
      <c r="H54" s="50">
        <v>1500</v>
      </c>
      <c r="I54" s="55">
        <v>225</v>
      </c>
      <c r="J54" s="49" t="s">
        <v>36</v>
      </c>
      <c r="K54" s="49" t="s">
        <v>37</v>
      </c>
    </row>
    <row r="55" spans="1:11" ht="15.75" customHeight="1">
      <c r="A55" s="49">
        <v>6</v>
      </c>
      <c r="B55" s="49" t="s">
        <v>642</v>
      </c>
      <c r="C55" s="49" t="s">
        <v>246</v>
      </c>
      <c r="D55" s="49" t="s">
        <v>643</v>
      </c>
      <c r="E55" s="49" t="s">
        <v>193</v>
      </c>
      <c r="F55" s="49"/>
      <c r="G55" s="49" t="s">
        <v>35</v>
      </c>
      <c r="H55" s="50">
        <v>4000</v>
      </c>
      <c r="I55" s="55">
        <v>600</v>
      </c>
      <c r="J55" s="49" t="s">
        <v>36</v>
      </c>
      <c r="K55" s="49" t="s">
        <v>37</v>
      </c>
    </row>
    <row r="56" spans="1:11" ht="15.75" customHeight="1">
      <c r="A56" s="49">
        <v>7</v>
      </c>
      <c r="B56" s="49" t="s">
        <v>644</v>
      </c>
      <c r="C56" s="49" t="s">
        <v>227</v>
      </c>
      <c r="D56" s="49" t="s">
        <v>277</v>
      </c>
      <c r="E56" s="49" t="s">
        <v>232</v>
      </c>
      <c r="F56" s="49"/>
      <c r="G56" s="49" t="s">
        <v>35</v>
      </c>
      <c r="H56" s="50">
        <v>600</v>
      </c>
      <c r="I56" s="55">
        <v>90</v>
      </c>
      <c r="J56" s="49" t="s">
        <v>36</v>
      </c>
      <c r="K56" s="49" t="s">
        <v>37</v>
      </c>
    </row>
    <row r="57" spans="1:11" ht="15.75" customHeight="1">
      <c r="A57" s="49">
        <v>7</v>
      </c>
      <c r="B57" s="49" t="s">
        <v>645</v>
      </c>
      <c r="C57" s="49" t="s">
        <v>227</v>
      </c>
      <c r="D57" s="49" t="s">
        <v>234</v>
      </c>
      <c r="E57" s="49" t="s">
        <v>235</v>
      </c>
      <c r="F57" s="49"/>
      <c r="G57" s="49" t="s">
        <v>35</v>
      </c>
      <c r="H57" s="50">
        <v>4000</v>
      </c>
      <c r="I57" s="55">
        <v>600</v>
      </c>
      <c r="J57" s="49" t="s">
        <v>36</v>
      </c>
      <c r="K57" s="49" t="s">
        <v>37</v>
      </c>
    </row>
    <row r="58" spans="1:11" ht="15.75" customHeight="1">
      <c r="A58" s="49">
        <v>7</v>
      </c>
      <c r="B58" s="49" t="s">
        <v>646</v>
      </c>
      <c r="C58" s="49" t="s">
        <v>227</v>
      </c>
      <c r="D58" s="49" t="s">
        <v>647</v>
      </c>
      <c r="E58" s="49" t="s">
        <v>184</v>
      </c>
      <c r="F58" s="49"/>
      <c r="G58" s="49" t="s">
        <v>35</v>
      </c>
      <c r="H58" s="50">
        <v>9600</v>
      </c>
      <c r="I58" s="55">
        <v>1440</v>
      </c>
      <c r="J58" s="49" t="s">
        <v>36</v>
      </c>
      <c r="K58" s="49" t="s">
        <v>37</v>
      </c>
    </row>
    <row r="59" spans="1:11" ht="15.75" customHeight="1">
      <c r="A59" s="49">
        <v>7</v>
      </c>
      <c r="B59" s="49" t="s">
        <v>648</v>
      </c>
      <c r="C59" s="49" t="s">
        <v>227</v>
      </c>
      <c r="D59" s="49" t="s">
        <v>649</v>
      </c>
      <c r="E59" s="49" t="s">
        <v>232</v>
      </c>
      <c r="F59" s="49"/>
      <c r="G59" s="49" t="s">
        <v>35</v>
      </c>
      <c r="H59" s="50">
        <v>500</v>
      </c>
      <c r="I59" s="55">
        <v>75</v>
      </c>
      <c r="J59" s="49" t="s">
        <v>36</v>
      </c>
      <c r="K59" s="49" t="s">
        <v>37</v>
      </c>
    </row>
    <row r="60" spans="1:11" ht="15.75" customHeight="1">
      <c r="A60" s="49">
        <v>7</v>
      </c>
      <c r="B60" s="49" t="s">
        <v>650</v>
      </c>
      <c r="C60" s="49" t="s">
        <v>227</v>
      </c>
      <c r="D60" s="49" t="s">
        <v>234</v>
      </c>
      <c r="E60" s="49" t="s">
        <v>235</v>
      </c>
      <c r="F60" s="49"/>
      <c r="G60" s="49" t="s">
        <v>35</v>
      </c>
      <c r="H60" s="50">
        <v>400</v>
      </c>
      <c r="I60" s="55">
        <v>60</v>
      </c>
      <c r="J60" s="49" t="s">
        <v>36</v>
      </c>
      <c r="K60" s="49" t="s">
        <v>37</v>
      </c>
    </row>
    <row r="61" spans="1:11" ht="15.75" customHeight="1">
      <c r="A61" s="49">
        <v>7</v>
      </c>
      <c r="B61" s="49" t="s">
        <v>651</v>
      </c>
      <c r="C61" s="49" t="s">
        <v>227</v>
      </c>
      <c r="D61" s="49" t="s">
        <v>604</v>
      </c>
      <c r="E61" s="49" t="s">
        <v>235</v>
      </c>
      <c r="F61" s="49"/>
      <c r="G61" s="49" t="s">
        <v>120</v>
      </c>
      <c r="H61" s="50">
        <v>10</v>
      </c>
      <c r="I61" s="55">
        <v>100</v>
      </c>
      <c r="J61" s="49" t="s">
        <v>36</v>
      </c>
      <c r="K61" s="49" t="s">
        <v>37</v>
      </c>
    </row>
    <row r="62" spans="1:11" ht="15.75" customHeight="1">
      <c r="A62" s="49">
        <v>7</v>
      </c>
      <c r="B62" s="49" t="s">
        <v>652</v>
      </c>
      <c r="C62" s="49" t="s">
        <v>246</v>
      </c>
      <c r="D62" s="49" t="s">
        <v>292</v>
      </c>
      <c r="E62" s="49" t="s">
        <v>235</v>
      </c>
      <c r="F62" s="49"/>
      <c r="G62" s="49" t="s">
        <v>35</v>
      </c>
      <c r="H62" s="50">
        <v>4000</v>
      </c>
      <c r="I62" s="55">
        <v>600</v>
      </c>
      <c r="J62" s="49" t="s">
        <v>36</v>
      </c>
      <c r="K62" s="49" t="s">
        <v>37</v>
      </c>
    </row>
    <row r="63" spans="1:11" ht="15.75" customHeight="1">
      <c r="A63" s="49">
        <v>7</v>
      </c>
      <c r="B63" s="49" t="s">
        <v>653</v>
      </c>
      <c r="C63" s="49" t="s">
        <v>227</v>
      </c>
      <c r="D63" s="49" t="s">
        <v>654</v>
      </c>
      <c r="E63" s="49" t="s">
        <v>655</v>
      </c>
      <c r="F63" s="49"/>
      <c r="G63" s="49" t="s">
        <v>35</v>
      </c>
      <c r="H63" s="50">
        <v>400</v>
      </c>
      <c r="I63" s="55">
        <v>100</v>
      </c>
      <c r="J63" s="49" t="s">
        <v>36</v>
      </c>
      <c r="K63" s="49" t="s">
        <v>37</v>
      </c>
    </row>
    <row r="64" spans="1:11" ht="15.75" customHeight="1">
      <c r="A64" s="49">
        <v>7</v>
      </c>
      <c r="B64" s="49" t="s">
        <v>656</v>
      </c>
      <c r="C64" s="49" t="s">
        <v>227</v>
      </c>
      <c r="D64" s="49" t="s">
        <v>444</v>
      </c>
      <c r="E64" s="49" t="s">
        <v>235</v>
      </c>
      <c r="F64" s="49"/>
      <c r="G64" s="49" t="s">
        <v>35</v>
      </c>
      <c r="H64" s="50">
        <v>500</v>
      </c>
      <c r="I64" s="55"/>
      <c r="J64" s="49" t="s">
        <v>36</v>
      </c>
      <c r="K64" s="49" t="s">
        <v>37</v>
      </c>
    </row>
    <row r="65" spans="1:11" ht="15.75" customHeight="1">
      <c r="A65" s="49">
        <v>7</v>
      </c>
      <c r="B65" s="49" t="s">
        <v>657</v>
      </c>
      <c r="C65" s="49" t="s">
        <v>246</v>
      </c>
      <c r="D65" s="49" t="s">
        <v>421</v>
      </c>
      <c r="E65" s="49" t="s">
        <v>251</v>
      </c>
      <c r="F65" s="49"/>
      <c r="G65" s="49" t="s">
        <v>35</v>
      </c>
      <c r="H65" s="50">
        <v>300</v>
      </c>
      <c r="I65" s="55">
        <v>75</v>
      </c>
      <c r="J65" s="49" t="s">
        <v>36</v>
      </c>
      <c r="K65" s="49" t="s">
        <v>37</v>
      </c>
    </row>
    <row r="66" spans="1:11" ht="15.75" customHeight="1">
      <c r="A66" s="49">
        <v>8</v>
      </c>
      <c r="B66" s="49" t="s">
        <v>658</v>
      </c>
      <c r="C66" s="49" t="s">
        <v>227</v>
      </c>
      <c r="D66" s="49" t="s">
        <v>659</v>
      </c>
      <c r="E66" s="49" t="s">
        <v>48</v>
      </c>
      <c r="F66" s="49"/>
      <c r="G66" s="49" t="s">
        <v>35</v>
      </c>
      <c r="H66" s="50">
        <v>400</v>
      </c>
      <c r="I66" s="55">
        <v>60</v>
      </c>
      <c r="J66" s="49" t="s">
        <v>36</v>
      </c>
      <c r="K66" s="49" t="s">
        <v>37</v>
      </c>
    </row>
    <row r="67" spans="1:11" ht="15.75" customHeight="1">
      <c r="A67" s="49">
        <v>8</v>
      </c>
      <c r="B67" s="49" t="s">
        <v>660</v>
      </c>
      <c r="C67" s="49" t="s">
        <v>227</v>
      </c>
      <c r="D67" s="49" t="s">
        <v>619</v>
      </c>
      <c r="E67" s="49" t="s">
        <v>193</v>
      </c>
      <c r="F67" s="49"/>
      <c r="G67" s="49" t="s">
        <v>35</v>
      </c>
      <c r="H67" s="50">
        <v>2000</v>
      </c>
      <c r="I67" s="55">
        <v>300</v>
      </c>
      <c r="J67" s="49" t="s">
        <v>36</v>
      </c>
      <c r="K67" s="49" t="s">
        <v>37</v>
      </c>
    </row>
    <row r="68" spans="1:11" ht="15.75" customHeight="1">
      <c r="A68" s="49">
        <v>8</v>
      </c>
      <c r="B68" s="49" t="s">
        <v>661</v>
      </c>
      <c r="C68" s="49" t="s">
        <v>227</v>
      </c>
      <c r="D68" s="49" t="s">
        <v>662</v>
      </c>
      <c r="E68" s="49" t="s">
        <v>241</v>
      </c>
      <c r="F68" s="49"/>
      <c r="G68" s="49" t="s">
        <v>35</v>
      </c>
      <c r="H68" s="50">
        <v>1000</v>
      </c>
      <c r="I68" s="55">
        <v>150</v>
      </c>
      <c r="J68" s="49" t="s">
        <v>36</v>
      </c>
      <c r="K68" s="49" t="s">
        <v>37</v>
      </c>
    </row>
    <row r="69" spans="1:11" ht="15.75" customHeight="1">
      <c r="A69" s="49">
        <v>8</v>
      </c>
      <c r="B69" s="49" t="s">
        <v>663</v>
      </c>
      <c r="C69" s="49" t="s">
        <v>227</v>
      </c>
      <c r="D69" s="49" t="s">
        <v>205</v>
      </c>
      <c r="E69" s="49" t="s">
        <v>199</v>
      </c>
      <c r="F69" s="49"/>
      <c r="G69" s="49" t="s">
        <v>120</v>
      </c>
      <c r="H69" s="50">
        <v>19</v>
      </c>
      <c r="I69" s="55">
        <v>380</v>
      </c>
      <c r="J69" s="49" t="s">
        <v>36</v>
      </c>
      <c r="K69" s="49" t="s">
        <v>37</v>
      </c>
    </row>
    <row r="70" spans="1:11" ht="15.75" customHeight="1">
      <c r="A70" s="49">
        <v>8</v>
      </c>
      <c r="B70" s="49" t="s">
        <v>664</v>
      </c>
      <c r="C70" s="49" t="s">
        <v>227</v>
      </c>
      <c r="D70" s="49" t="s">
        <v>32</v>
      </c>
      <c r="E70" s="49" t="s">
        <v>386</v>
      </c>
      <c r="F70" s="49"/>
      <c r="G70" s="49" t="s">
        <v>35</v>
      </c>
      <c r="H70" s="50">
        <v>2000</v>
      </c>
      <c r="I70" s="55">
        <v>300</v>
      </c>
      <c r="J70" s="49" t="s">
        <v>36</v>
      </c>
      <c r="K70" s="49" t="s">
        <v>37</v>
      </c>
    </row>
    <row r="71" spans="1:11" ht="15.75" customHeight="1">
      <c r="A71" s="49">
        <v>8</v>
      </c>
      <c r="B71" s="49" t="s">
        <v>665</v>
      </c>
      <c r="C71" s="49" t="s">
        <v>227</v>
      </c>
      <c r="D71" s="49" t="s">
        <v>548</v>
      </c>
      <c r="E71" s="49" t="s">
        <v>232</v>
      </c>
      <c r="F71" s="49"/>
      <c r="G71" s="49" t="s">
        <v>35</v>
      </c>
      <c r="H71" s="50">
        <v>2000</v>
      </c>
      <c r="I71" s="55">
        <v>300</v>
      </c>
      <c r="J71" s="49" t="s">
        <v>36</v>
      </c>
      <c r="K71" s="49" t="s">
        <v>37</v>
      </c>
    </row>
    <row r="72" spans="1:11" ht="15.75" customHeight="1">
      <c r="A72" s="49">
        <v>8</v>
      </c>
      <c r="B72" s="49" t="s">
        <v>666</v>
      </c>
      <c r="C72" s="49" t="s">
        <v>227</v>
      </c>
      <c r="D72" s="49" t="s">
        <v>464</v>
      </c>
      <c r="E72" s="49" t="s">
        <v>321</v>
      </c>
      <c r="F72" s="49"/>
      <c r="G72" s="49" t="s">
        <v>35</v>
      </c>
      <c r="H72" s="50">
        <v>2000</v>
      </c>
      <c r="I72" s="55">
        <v>300</v>
      </c>
      <c r="J72" s="49" t="s">
        <v>36</v>
      </c>
      <c r="K72" s="49" t="s">
        <v>37</v>
      </c>
    </row>
    <row r="73" spans="1:11" ht="15.75" customHeight="1">
      <c r="A73" s="49">
        <v>8</v>
      </c>
      <c r="B73" s="49" t="s">
        <v>667</v>
      </c>
      <c r="C73" s="49" t="s">
        <v>227</v>
      </c>
      <c r="D73" s="49" t="s">
        <v>668</v>
      </c>
      <c r="E73" s="49" t="s">
        <v>251</v>
      </c>
      <c r="F73" s="49"/>
      <c r="G73" s="49" t="s">
        <v>242</v>
      </c>
      <c r="H73" s="50">
        <v>20</v>
      </c>
      <c r="I73" s="55">
        <v>60</v>
      </c>
      <c r="J73" s="49" t="s">
        <v>36</v>
      </c>
      <c r="K73" s="49" t="s">
        <v>37</v>
      </c>
    </row>
    <row r="74" spans="1:11" ht="15.75" customHeight="1">
      <c r="A74" s="49">
        <v>8</v>
      </c>
      <c r="B74" s="49" t="s">
        <v>669</v>
      </c>
      <c r="C74" s="49" t="s">
        <v>246</v>
      </c>
      <c r="D74" s="49" t="s">
        <v>277</v>
      </c>
      <c r="E74" s="49" t="s">
        <v>232</v>
      </c>
      <c r="F74" s="49"/>
      <c r="G74" s="49" t="s">
        <v>35</v>
      </c>
      <c r="H74" s="50">
        <v>2000</v>
      </c>
      <c r="I74" s="55">
        <v>300</v>
      </c>
      <c r="J74" s="49" t="s">
        <v>36</v>
      </c>
      <c r="K74" s="49" t="s">
        <v>37</v>
      </c>
    </row>
    <row r="75" spans="1:11" ht="15.75" customHeight="1">
      <c r="A75" s="49">
        <v>8</v>
      </c>
      <c r="B75" s="49" t="s">
        <v>670</v>
      </c>
      <c r="C75" s="49" t="s">
        <v>246</v>
      </c>
      <c r="D75" s="49" t="s">
        <v>277</v>
      </c>
      <c r="E75" s="49" t="s">
        <v>232</v>
      </c>
      <c r="F75" s="49"/>
      <c r="G75" s="49" t="s">
        <v>35</v>
      </c>
      <c r="H75" s="50">
        <v>2000</v>
      </c>
      <c r="I75" s="55">
        <v>300</v>
      </c>
      <c r="J75" s="49" t="s">
        <v>36</v>
      </c>
      <c r="K75" s="49" t="s">
        <v>37</v>
      </c>
    </row>
    <row r="76" spans="1:11" ht="15.75" customHeight="1">
      <c r="A76" s="49">
        <v>8</v>
      </c>
      <c r="B76" s="49" t="s">
        <v>671</v>
      </c>
      <c r="C76" s="49" t="s">
        <v>227</v>
      </c>
      <c r="D76" s="49" t="s">
        <v>277</v>
      </c>
      <c r="E76" s="49" t="s">
        <v>232</v>
      </c>
      <c r="F76" s="49"/>
      <c r="G76" s="49" t="s">
        <v>35</v>
      </c>
      <c r="H76" s="50">
        <v>2000</v>
      </c>
      <c r="I76" s="55">
        <v>300</v>
      </c>
      <c r="J76" s="49" t="s">
        <v>36</v>
      </c>
      <c r="K76" s="49" t="s">
        <v>37</v>
      </c>
    </row>
    <row r="77" spans="1:11" ht="15.75" customHeight="1">
      <c r="A77" s="49">
        <v>8</v>
      </c>
      <c r="B77" s="49" t="s">
        <v>671</v>
      </c>
      <c r="C77" s="49" t="s">
        <v>227</v>
      </c>
      <c r="D77" s="49" t="s">
        <v>277</v>
      </c>
      <c r="E77" s="49" t="s">
        <v>232</v>
      </c>
      <c r="F77" s="49"/>
      <c r="G77" s="49" t="s">
        <v>35</v>
      </c>
      <c r="H77" s="50">
        <v>500</v>
      </c>
      <c r="I77" s="55"/>
      <c r="J77" s="49" t="s">
        <v>43</v>
      </c>
      <c r="K77" s="49"/>
    </row>
    <row r="78" spans="1:11" ht="15.75" customHeight="1">
      <c r="A78" s="49">
        <v>9</v>
      </c>
      <c r="B78" s="49" t="s">
        <v>672</v>
      </c>
      <c r="C78" s="49" t="s">
        <v>227</v>
      </c>
      <c r="D78" s="49" t="s">
        <v>619</v>
      </c>
      <c r="E78" s="49" t="s">
        <v>193</v>
      </c>
      <c r="F78" s="49"/>
      <c r="G78" s="49" t="s">
        <v>35</v>
      </c>
      <c r="H78" s="50">
        <v>6000</v>
      </c>
      <c r="I78" s="55">
        <v>900</v>
      </c>
      <c r="J78" s="49" t="s">
        <v>36</v>
      </c>
      <c r="K78" s="49" t="s">
        <v>37</v>
      </c>
    </row>
    <row r="79" spans="1:11" ht="15.75" customHeight="1">
      <c r="A79" s="49">
        <v>9</v>
      </c>
      <c r="B79" s="49" t="s">
        <v>673</v>
      </c>
      <c r="C79" s="49" t="s">
        <v>227</v>
      </c>
      <c r="D79" s="49" t="s">
        <v>295</v>
      </c>
      <c r="E79" s="49" t="s">
        <v>248</v>
      </c>
      <c r="F79" s="49"/>
      <c r="G79" s="49" t="s">
        <v>35</v>
      </c>
      <c r="H79" s="50">
        <v>2000</v>
      </c>
      <c r="I79" s="55">
        <v>300</v>
      </c>
      <c r="J79" s="49" t="s">
        <v>36</v>
      </c>
      <c r="K79" s="49" t="s">
        <v>37</v>
      </c>
    </row>
    <row r="80" spans="1:11" ht="15.75" customHeight="1">
      <c r="A80" s="49">
        <v>9</v>
      </c>
      <c r="B80" s="49" t="s">
        <v>674</v>
      </c>
      <c r="C80" s="49" t="s">
        <v>227</v>
      </c>
      <c r="D80" s="49" t="s">
        <v>295</v>
      </c>
      <c r="E80" s="49" t="s">
        <v>248</v>
      </c>
      <c r="F80" s="49"/>
      <c r="G80" s="49" t="s">
        <v>35</v>
      </c>
      <c r="H80" s="50">
        <v>2000</v>
      </c>
      <c r="I80" s="55">
        <v>300</v>
      </c>
      <c r="J80" s="49" t="s">
        <v>36</v>
      </c>
      <c r="K80" s="49" t="s">
        <v>37</v>
      </c>
    </row>
    <row r="81" spans="1:11" ht="15.75" customHeight="1">
      <c r="A81" s="49">
        <v>9</v>
      </c>
      <c r="B81" s="49" t="s">
        <v>675</v>
      </c>
      <c r="C81" s="49" t="s">
        <v>227</v>
      </c>
      <c r="D81" s="49" t="s">
        <v>277</v>
      </c>
      <c r="E81" s="49" t="s">
        <v>232</v>
      </c>
      <c r="F81" s="49"/>
      <c r="G81" s="49" t="s">
        <v>35</v>
      </c>
      <c r="H81" s="50">
        <v>1000</v>
      </c>
      <c r="I81" s="55">
        <v>150</v>
      </c>
      <c r="J81" s="49" t="s">
        <v>36</v>
      </c>
      <c r="K81" s="49" t="s">
        <v>37</v>
      </c>
    </row>
    <row r="82" spans="1:11" ht="15.75" customHeight="1">
      <c r="A82" s="49">
        <v>9</v>
      </c>
      <c r="B82" s="49" t="s">
        <v>676</v>
      </c>
      <c r="C82" s="49" t="s">
        <v>227</v>
      </c>
      <c r="D82" s="49" t="s">
        <v>32</v>
      </c>
      <c r="E82" s="49" t="s">
        <v>525</v>
      </c>
      <c r="F82" s="49"/>
      <c r="G82" s="49" t="s">
        <v>35</v>
      </c>
      <c r="H82" s="50">
        <v>8000</v>
      </c>
      <c r="I82" s="55">
        <v>1200</v>
      </c>
      <c r="J82" s="49" t="s">
        <v>36</v>
      </c>
      <c r="K82" s="49" t="s">
        <v>37</v>
      </c>
    </row>
    <row r="83" spans="1:11" ht="15.75" customHeight="1">
      <c r="A83" s="49">
        <v>9</v>
      </c>
      <c r="B83" s="49" t="s">
        <v>677</v>
      </c>
      <c r="C83" s="49" t="s">
        <v>227</v>
      </c>
      <c r="D83" s="49" t="s">
        <v>385</v>
      </c>
      <c r="E83" s="49" t="s">
        <v>307</v>
      </c>
      <c r="F83" s="49"/>
      <c r="G83" s="49" t="s">
        <v>35</v>
      </c>
      <c r="H83" s="50">
        <v>1600</v>
      </c>
      <c r="I83" s="55">
        <v>240</v>
      </c>
      <c r="J83" s="49" t="s">
        <v>36</v>
      </c>
      <c r="K83" s="49" t="s">
        <v>37</v>
      </c>
    </row>
    <row r="84" spans="1:11" ht="15.75" customHeight="1">
      <c r="A84" s="49">
        <v>9</v>
      </c>
      <c r="B84" s="49" t="s">
        <v>678</v>
      </c>
      <c r="C84" s="49" t="s">
        <v>227</v>
      </c>
      <c r="D84" s="49" t="s">
        <v>679</v>
      </c>
      <c r="E84" s="49" t="s">
        <v>232</v>
      </c>
      <c r="F84" s="49"/>
      <c r="G84" s="49" t="s">
        <v>35</v>
      </c>
      <c r="H84" s="50">
        <v>1000</v>
      </c>
      <c r="I84" s="55">
        <v>150</v>
      </c>
      <c r="J84" s="49" t="s">
        <v>36</v>
      </c>
      <c r="K84" s="49" t="s">
        <v>37</v>
      </c>
    </row>
    <row r="85" spans="1:11" ht="15.75" customHeight="1">
      <c r="A85" s="49">
        <v>9</v>
      </c>
      <c r="B85" s="49" t="s">
        <v>680</v>
      </c>
      <c r="C85" s="49" t="s">
        <v>227</v>
      </c>
      <c r="D85" s="49" t="s">
        <v>277</v>
      </c>
      <c r="E85" s="49" t="s">
        <v>232</v>
      </c>
      <c r="F85" s="49"/>
      <c r="G85" s="49" t="s">
        <v>35</v>
      </c>
      <c r="H85" s="50">
        <v>4000</v>
      </c>
      <c r="I85" s="55">
        <v>600</v>
      </c>
      <c r="J85" s="49" t="s">
        <v>36</v>
      </c>
      <c r="K85" s="49" t="s">
        <v>37</v>
      </c>
    </row>
    <row r="86" spans="1:11" ht="15.75" customHeight="1">
      <c r="A86" s="49">
        <v>10</v>
      </c>
      <c r="B86" s="49" t="s">
        <v>681</v>
      </c>
      <c r="C86" s="49" t="s">
        <v>227</v>
      </c>
      <c r="D86" s="49" t="s">
        <v>682</v>
      </c>
      <c r="E86" s="49" t="s">
        <v>386</v>
      </c>
      <c r="F86" s="49"/>
      <c r="G86" s="49" t="s">
        <v>35</v>
      </c>
      <c r="H86" s="50">
        <v>23000</v>
      </c>
      <c r="I86" s="55">
        <v>3450</v>
      </c>
      <c r="J86" s="49" t="s">
        <v>36</v>
      </c>
      <c r="K86" s="49" t="s">
        <v>37</v>
      </c>
    </row>
    <row r="87" spans="1:11" ht="15.75" customHeight="1">
      <c r="A87" s="49">
        <v>10</v>
      </c>
      <c r="B87" s="49" t="s">
        <v>681</v>
      </c>
      <c r="C87" s="49" t="s">
        <v>227</v>
      </c>
      <c r="D87" s="49" t="s">
        <v>682</v>
      </c>
      <c r="E87" s="49" t="s">
        <v>386</v>
      </c>
      <c r="F87" s="49"/>
      <c r="G87" s="49" t="s">
        <v>35</v>
      </c>
      <c r="H87" s="50">
        <v>800</v>
      </c>
      <c r="I87" s="55">
        <v>200</v>
      </c>
      <c r="J87" s="49" t="s">
        <v>36</v>
      </c>
      <c r="K87" s="49" t="s">
        <v>37</v>
      </c>
    </row>
    <row r="88" spans="1:11" ht="15.75" customHeight="1">
      <c r="A88" s="49">
        <v>10</v>
      </c>
      <c r="B88" s="49" t="s">
        <v>683</v>
      </c>
      <c r="C88" s="49" t="s">
        <v>246</v>
      </c>
      <c r="D88" s="49" t="s">
        <v>323</v>
      </c>
      <c r="E88" s="49" t="s">
        <v>80</v>
      </c>
      <c r="F88" s="49"/>
      <c r="G88" s="49" t="s">
        <v>35</v>
      </c>
      <c r="H88" s="50">
        <v>10000</v>
      </c>
      <c r="I88" s="55">
        <v>1500</v>
      </c>
      <c r="J88" s="49" t="s">
        <v>36</v>
      </c>
      <c r="K88" s="49" t="s">
        <v>37</v>
      </c>
    </row>
    <row r="89" spans="1:11" ht="15.75" customHeight="1">
      <c r="A89" s="49">
        <v>10</v>
      </c>
      <c r="B89" s="49" t="s">
        <v>684</v>
      </c>
      <c r="C89" s="49" t="s">
        <v>227</v>
      </c>
      <c r="D89" s="49" t="s">
        <v>685</v>
      </c>
      <c r="E89" s="49" t="s">
        <v>386</v>
      </c>
      <c r="F89" s="49"/>
      <c r="G89" s="49" t="s">
        <v>35</v>
      </c>
      <c r="H89" s="50">
        <v>700</v>
      </c>
      <c r="I89" s="55">
        <v>107</v>
      </c>
      <c r="J89" s="49" t="s">
        <v>36</v>
      </c>
      <c r="K89" s="49" t="s">
        <v>37</v>
      </c>
    </row>
    <row r="90" spans="1:11" ht="15.75" customHeight="1">
      <c r="A90" s="49">
        <v>11</v>
      </c>
      <c r="B90" s="49" t="s">
        <v>686</v>
      </c>
      <c r="C90" s="49" t="s">
        <v>227</v>
      </c>
      <c r="D90" s="49" t="s">
        <v>32</v>
      </c>
      <c r="E90" s="49" t="s">
        <v>51</v>
      </c>
      <c r="F90" s="49"/>
      <c r="G90" s="49" t="s">
        <v>35</v>
      </c>
      <c r="H90" s="50">
        <v>300</v>
      </c>
      <c r="I90" s="55">
        <v>45</v>
      </c>
      <c r="J90" s="49" t="s">
        <v>36</v>
      </c>
      <c r="K90" s="49" t="s">
        <v>37</v>
      </c>
    </row>
    <row r="91" spans="1:11" ht="15.75" customHeight="1">
      <c r="A91" s="49">
        <v>11</v>
      </c>
      <c r="B91" s="49" t="s">
        <v>687</v>
      </c>
      <c r="C91" s="49" t="s">
        <v>227</v>
      </c>
      <c r="D91" s="49" t="s">
        <v>32</v>
      </c>
      <c r="E91" s="49" t="s">
        <v>235</v>
      </c>
      <c r="F91" s="49"/>
      <c r="G91" s="49" t="s">
        <v>35</v>
      </c>
      <c r="H91" s="50">
        <v>700</v>
      </c>
      <c r="I91" s="55">
        <v>105</v>
      </c>
      <c r="J91" s="49" t="s">
        <v>36</v>
      </c>
      <c r="K91" s="49" t="s">
        <v>37</v>
      </c>
    </row>
    <row r="92" spans="1:11" ht="15.75" customHeight="1">
      <c r="A92" s="49">
        <v>11</v>
      </c>
      <c r="B92" s="49" t="s">
        <v>672</v>
      </c>
      <c r="C92" s="49" t="s">
        <v>227</v>
      </c>
      <c r="D92" s="49" t="s">
        <v>619</v>
      </c>
      <c r="E92" s="49" t="s">
        <v>193</v>
      </c>
      <c r="F92" s="49"/>
      <c r="G92" s="49" t="s">
        <v>35</v>
      </c>
      <c r="H92" s="50">
        <v>4000</v>
      </c>
      <c r="I92" s="55">
        <v>600</v>
      </c>
      <c r="J92" s="49" t="s">
        <v>36</v>
      </c>
      <c r="K92" s="49" t="s">
        <v>37</v>
      </c>
    </row>
    <row r="93" spans="1:11" ht="15.75" customHeight="1">
      <c r="A93" s="49">
        <v>11</v>
      </c>
      <c r="B93" s="49" t="s">
        <v>688</v>
      </c>
      <c r="C93" s="49" t="s">
        <v>227</v>
      </c>
      <c r="D93" s="49" t="s">
        <v>689</v>
      </c>
      <c r="E93" s="49" t="s">
        <v>690</v>
      </c>
      <c r="F93" s="49"/>
      <c r="G93" s="49" t="s">
        <v>35</v>
      </c>
      <c r="H93" s="50">
        <v>8000</v>
      </c>
      <c r="I93" s="55">
        <v>1200</v>
      </c>
      <c r="J93" s="49" t="s">
        <v>36</v>
      </c>
      <c r="K93" s="49" t="s">
        <v>37</v>
      </c>
    </row>
    <row r="94" spans="1:11" ht="15.75" customHeight="1">
      <c r="A94" s="49">
        <v>11</v>
      </c>
      <c r="B94" s="49" t="s">
        <v>691</v>
      </c>
      <c r="C94" s="49" t="s">
        <v>227</v>
      </c>
      <c r="D94" s="49" t="s">
        <v>619</v>
      </c>
      <c r="E94" s="49" t="s">
        <v>33</v>
      </c>
      <c r="F94" s="49"/>
      <c r="G94" s="49" t="s">
        <v>35</v>
      </c>
      <c r="H94" s="50">
        <v>1500</v>
      </c>
      <c r="I94" s="55">
        <v>225</v>
      </c>
      <c r="J94" s="49" t="s">
        <v>36</v>
      </c>
      <c r="K94" s="49" t="s">
        <v>37</v>
      </c>
    </row>
    <row r="95" spans="1:11" ht="15.75" customHeight="1">
      <c r="A95" s="49">
        <v>12</v>
      </c>
      <c r="B95" s="49" t="s">
        <v>692</v>
      </c>
      <c r="C95" s="49" t="s">
        <v>227</v>
      </c>
      <c r="D95" s="49" t="s">
        <v>292</v>
      </c>
      <c r="E95" s="49" t="s">
        <v>235</v>
      </c>
      <c r="F95" s="49"/>
      <c r="G95" s="49" t="s">
        <v>35</v>
      </c>
      <c r="H95" s="50">
        <v>2700</v>
      </c>
      <c r="I95" s="55">
        <v>405</v>
      </c>
      <c r="J95" s="49" t="s">
        <v>36</v>
      </c>
      <c r="K95" s="49" t="s">
        <v>37</v>
      </c>
    </row>
    <row r="96" spans="1:11" ht="15.75" customHeight="1">
      <c r="A96" s="49">
        <v>12</v>
      </c>
      <c r="B96" s="49" t="s">
        <v>693</v>
      </c>
      <c r="C96" s="49" t="s">
        <v>227</v>
      </c>
      <c r="D96" s="49" t="s">
        <v>694</v>
      </c>
      <c r="E96" s="49" t="s">
        <v>467</v>
      </c>
      <c r="F96" s="49"/>
      <c r="G96" s="49" t="s">
        <v>35</v>
      </c>
      <c r="H96" s="50">
        <v>2000</v>
      </c>
      <c r="I96" s="55">
        <v>300</v>
      </c>
      <c r="J96" s="49" t="s">
        <v>36</v>
      </c>
      <c r="K96" s="49" t="s">
        <v>37</v>
      </c>
    </row>
    <row r="97" spans="1:11" ht="15.75" customHeight="1">
      <c r="A97" s="49">
        <v>12</v>
      </c>
      <c r="B97" s="49" t="s">
        <v>695</v>
      </c>
      <c r="C97" s="49" t="s">
        <v>227</v>
      </c>
      <c r="D97" s="49" t="s">
        <v>388</v>
      </c>
      <c r="E97" s="49" t="s">
        <v>164</v>
      </c>
      <c r="F97" s="49"/>
      <c r="G97" s="49" t="s">
        <v>35</v>
      </c>
      <c r="H97" s="50">
        <v>1500</v>
      </c>
      <c r="I97" s="55">
        <v>225</v>
      </c>
      <c r="J97" s="49" t="s">
        <v>36</v>
      </c>
      <c r="K97" s="49" t="s">
        <v>37</v>
      </c>
    </row>
    <row r="98" spans="1:11" ht="15.75" customHeight="1">
      <c r="A98" s="49">
        <v>12</v>
      </c>
      <c r="B98" s="49" t="s">
        <v>696</v>
      </c>
      <c r="C98" s="49" t="s">
        <v>246</v>
      </c>
      <c r="D98" s="49" t="s">
        <v>290</v>
      </c>
      <c r="E98" s="49" t="s">
        <v>232</v>
      </c>
      <c r="F98" s="49"/>
      <c r="G98" s="49" t="s">
        <v>35</v>
      </c>
      <c r="H98" s="50">
        <v>300</v>
      </c>
      <c r="I98" s="55">
        <v>45</v>
      </c>
      <c r="J98" s="49" t="s">
        <v>36</v>
      </c>
      <c r="K98" s="49" t="s">
        <v>37</v>
      </c>
    </row>
    <row r="99" spans="1:11" ht="15.75" customHeight="1">
      <c r="A99" s="49">
        <v>12</v>
      </c>
      <c r="B99" s="49" t="s">
        <v>697</v>
      </c>
      <c r="C99" s="49" t="s">
        <v>246</v>
      </c>
      <c r="D99" s="49" t="s">
        <v>505</v>
      </c>
      <c r="E99" s="49" t="s">
        <v>235</v>
      </c>
      <c r="F99" s="49"/>
      <c r="G99" s="49" t="s">
        <v>35</v>
      </c>
      <c r="H99" s="50">
        <v>100</v>
      </c>
      <c r="I99" s="55"/>
      <c r="J99" s="49" t="s">
        <v>43</v>
      </c>
      <c r="K99" s="49" t="s">
        <v>37</v>
      </c>
    </row>
    <row r="100" spans="1:11" ht="15.75" customHeight="1">
      <c r="A100" s="49">
        <v>12</v>
      </c>
      <c r="B100" s="49" t="s">
        <v>698</v>
      </c>
      <c r="C100" s="49" t="s">
        <v>227</v>
      </c>
      <c r="D100" s="49" t="s">
        <v>699</v>
      </c>
      <c r="E100" s="49" t="s">
        <v>507</v>
      </c>
      <c r="F100" s="49"/>
      <c r="G100" s="49" t="s">
        <v>35</v>
      </c>
      <c r="H100" s="50">
        <v>5000</v>
      </c>
      <c r="I100" s="55">
        <v>750</v>
      </c>
      <c r="J100" s="49" t="s">
        <v>36</v>
      </c>
      <c r="K100" s="49" t="s">
        <v>37</v>
      </c>
    </row>
    <row r="101" spans="1:11" ht="15.75" customHeight="1">
      <c r="A101" s="49">
        <v>12</v>
      </c>
      <c r="B101" s="49" t="s">
        <v>700</v>
      </c>
      <c r="C101" s="49" t="s">
        <v>227</v>
      </c>
      <c r="D101" s="49" t="s">
        <v>701</v>
      </c>
      <c r="E101" s="49" t="s">
        <v>307</v>
      </c>
      <c r="F101" s="49"/>
      <c r="G101" s="49" t="s">
        <v>35</v>
      </c>
      <c r="H101" s="50">
        <v>150</v>
      </c>
      <c r="I101" s="55">
        <v>37.5</v>
      </c>
      <c r="J101" s="49" t="s">
        <v>36</v>
      </c>
      <c r="K101" s="49" t="s">
        <v>37</v>
      </c>
    </row>
    <row r="102" spans="1:11" ht="15.75" customHeight="1">
      <c r="A102" s="49">
        <v>12</v>
      </c>
      <c r="B102" s="49" t="s">
        <v>702</v>
      </c>
      <c r="C102" s="49" t="s">
        <v>227</v>
      </c>
      <c r="D102" s="49" t="s">
        <v>598</v>
      </c>
      <c r="E102" s="49" t="s">
        <v>232</v>
      </c>
      <c r="F102" s="49"/>
      <c r="G102" s="49" t="s">
        <v>35</v>
      </c>
      <c r="H102" s="50">
        <v>4000</v>
      </c>
      <c r="I102" s="55">
        <v>600</v>
      </c>
      <c r="J102" s="49" t="s">
        <v>36</v>
      </c>
      <c r="K102" s="49" t="s">
        <v>37</v>
      </c>
    </row>
    <row r="103" spans="1:11" ht="15.75" customHeight="1">
      <c r="A103" s="49">
        <v>13</v>
      </c>
      <c r="B103" s="49" t="s">
        <v>703</v>
      </c>
      <c r="C103" s="49" t="s">
        <v>227</v>
      </c>
      <c r="D103" s="49" t="s">
        <v>295</v>
      </c>
      <c r="E103" s="49" t="s">
        <v>248</v>
      </c>
      <c r="F103" s="49"/>
      <c r="G103" s="49" t="s">
        <v>35</v>
      </c>
      <c r="H103" s="50">
        <v>1000</v>
      </c>
      <c r="I103" s="55">
        <v>150</v>
      </c>
      <c r="J103" s="49" t="s">
        <v>36</v>
      </c>
      <c r="K103" s="49" t="s">
        <v>37</v>
      </c>
    </row>
    <row r="104" spans="1:11" ht="15.75" customHeight="1">
      <c r="A104" s="49">
        <v>13</v>
      </c>
      <c r="B104" s="49" t="s">
        <v>704</v>
      </c>
      <c r="C104" s="49" t="s">
        <v>227</v>
      </c>
      <c r="D104" s="49" t="s">
        <v>705</v>
      </c>
      <c r="E104" s="49" t="s">
        <v>51</v>
      </c>
      <c r="F104" s="49"/>
      <c r="G104" s="49" t="s">
        <v>35</v>
      </c>
      <c r="H104" s="50">
        <v>2000</v>
      </c>
      <c r="I104" s="55">
        <v>300</v>
      </c>
      <c r="J104" s="49" t="s">
        <v>36</v>
      </c>
      <c r="K104" s="49" t="s">
        <v>37</v>
      </c>
    </row>
    <row r="105" spans="1:11" ht="15.75" customHeight="1">
      <c r="A105" s="49">
        <v>13</v>
      </c>
      <c r="B105" s="49" t="s">
        <v>706</v>
      </c>
      <c r="C105" s="49" t="s">
        <v>227</v>
      </c>
      <c r="D105" s="49" t="s">
        <v>619</v>
      </c>
      <c r="E105" s="49" t="s">
        <v>193</v>
      </c>
      <c r="F105" s="49"/>
      <c r="G105" s="49" t="s">
        <v>35</v>
      </c>
      <c r="H105" s="50">
        <v>6000</v>
      </c>
      <c r="I105" s="55">
        <v>900</v>
      </c>
      <c r="J105" s="49" t="s">
        <v>36</v>
      </c>
      <c r="K105" s="49" t="s">
        <v>37</v>
      </c>
    </row>
    <row r="106" spans="1:11" ht="15.75" customHeight="1">
      <c r="A106" s="49">
        <v>13</v>
      </c>
      <c r="B106" s="49" t="s">
        <v>707</v>
      </c>
      <c r="C106" s="49" t="s">
        <v>227</v>
      </c>
      <c r="D106" s="49" t="s">
        <v>277</v>
      </c>
      <c r="E106" s="49" t="s">
        <v>232</v>
      </c>
      <c r="F106" s="49"/>
      <c r="G106" s="49" t="s">
        <v>35</v>
      </c>
      <c r="H106" s="50">
        <v>8500</v>
      </c>
      <c r="I106" s="55">
        <v>1275</v>
      </c>
      <c r="J106" s="49" t="s">
        <v>36</v>
      </c>
      <c r="K106" s="49" t="s">
        <v>37</v>
      </c>
    </row>
    <row r="107" spans="1:11" ht="15.75" customHeight="1">
      <c r="A107" s="49">
        <v>13</v>
      </c>
      <c r="B107" s="49" t="s">
        <v>707</v>
      </c>
      <c r="C107" s="49" t="s">
        <v>227</v>
      </c>
      <c r="D107" s="49" t="s">
        <v>277</v>
      </c>
      <c r="E107" s="49" t="s">
        <v>232</v>
      </c>
      <c r="F107" s="49"/>
      <c r="G107" s="49" t="s">
        <v>35</v>
      </c>
      <c r="H107" s="50">
        <v>500</v>
      </c>
      <c r="I107" s="55"/>
      <c r="J107" s="49" t="s">
        <v>43</v>
      </c>
      <c r="K107" s="49" t="s">
        <v>37</v>
      </c>
    </row>
    <row r="108" spans="1:11" ht="15.75" customHeight="1">
      <c r="A108" s="49">
        <v>13</v>
      </c>
      <c r="B108" s="49" t="s">
        <v>708</v>
      </c>
      <c r="C108" s="49" t="s">
        <v>246</v>
      </c>
      <c r="D108" s="49" t="s">
        <v>709</v>
      </c>
      <c r="E108" s="49" t="s">
        <v>251</v>
      </c>
      <c r="F108" s="49"/>
      <c r="G108" s="49" t="s">
        <v>35</v>
      </c>
      <c r="H108" s="50">
        <v>400</v>
      </c>
      <c r="I108" s="55">
        <v>60</v>
      </c>
      <c r="J108" s="49" t="s">
        <v>36</v>
      </c>
      <c r="K108" s="49" t="s">
        <v>37</v>
      </c>
    </row>
    <row r="109" spans="1:11" ht="15.75" customHeight="1">
      <c r="A109" s="49">
        <v>13</v>
      </c>
      <c r="B109" s="49" t="s">
        <v>710</v>
      </c>
      <c r="C109" s="49" t="s">
        <v>227</v>
      </c>
      <c r="D109" s="49" t="s">
        <v>375</v>
      </c>
      <c r="E109" s="49" t="s">
        <v>235</v>
      </c>
      <c r="F109" s="49"/>
      <c r="G109" s="49" t="s">
        <v>273</v>
      </c>
      <c r="H109" s="50">
        <v>20</v>
      </c>
      <c r="I109" s="55">
        <v>60</v>
      </c>
      <c r="J109" s="49" t="s">
        <v>36</v>
      </c>
      <c r="K109" s="49" t="s">
        <v>37</v>
      </c>
    </row>
    <row r="110" spans="1:11" ht="15.75" customHeight="1">
      <c r="A110" s="49">
        <v>13</v>
      </c>
      <c r="B110" s="49" t="s">
        <v>620</v>
      </c>
      <c r="C110" s="49" t="s">
        <v>227</v>
      </c>
      <c r="D110" s="49" t="s">
        <v>290</v>
      </c>
      <c r="E110" s="49" t="s">
        <v>232</v>
      </c>
      <c r="F110" s="49"/>
      <c r="G110" s="49" t="s">
        <v>86</v>
      </c>
      <c r="H110" s="50">
        <v>500</v>
      </c>
      <c r="I110" s="55">
        <v>300</v>
      </c>
      <c r="J110" s="49" t="s">
        <v>36</v>
      </c>
      <c r="K110" s="49" t="s">
        <v>37</v>
      </c>
    </row>
    <row r="111" spans="1:11" ht="15.75" customHeight="1">
      <c r="A111" s="49">
        <v>13</v>
      </c>
      <c r="B111" s="49" t="s">
        <v>711</v>
      </c>
      <c r="C111" s="49" t="s">
        <v>227</v>
      </c>
      <c r="D111" s="49" t="s">
        <v>290</v>
      </c>
      <c r="E111" s="49" t="s">
        <v>232</v>
      </c>
      <c r="F111" s="49"/>
      <c r="G111" s="49" t="s">
        <v>35</v>
      </c>
      <c r="H111" s="50">
        <v>300</v>
      </c>
      <c r="I111" s="55">
        <v>45</v>
      </c>
      <c r="J111" s="49" t="s">
        <v>36</v>
      </c>
      <c r="K111" s="49" t="s">
        <v>37</v>
      </c>
    </row>
    <row r="112" spans="1:11" ht="15.75" customHeight="1">
      <c r="A112" s="49">
        <v>13</v>
      </c>
      <c r="B112" s="49" t="s">
        <v>711</v>
      </c>
      <c r="C112" s="49" t="s">
        <v>227</v>
      </c>
      <c r="D112" s="49" t="s">
        <v>290</v>
      </c>
      <c r="E112" s="49" t="s">
        <v>232</v>
      </c>
      <c r="F112" s="49"/>
      <c r="G112" s="49" t="s">
        <v>86</v>
      </c>
      <c r="H112" s="50">
        <v>200</v>
      </c>
      <c r="I112" s="55">
        <v>120</v>
      </c>
      <c r="J112" s="49" t="s">
        <v>36</v>
      </c>
      <c r="K112" s="49" t="s">
        <v>37</v>
      </c>
    </row>
    <row r="113" spans="1:11" ht="15.75" customHeight="1">
      <c r="A113" s="49">
        <v>13</v>
      </c>
      <c r="B113" s="49" t="s">
        <v>712</v>
      </c>
      <c r="C113" s="49" t="s">
        <v>227</v>
      </c>
      <c r="D113" s="49" t="s">
        <v>713</v>
      </c>
      <c r="E113" s="49" t="s">
        <v>156</v>
      </c>
      <c r="F113" s="49"/>
      <c r="G113" s="49" t="s">
        <v>35</v>
      </c>
      <c r="H113" s="50">
        <v>300</v>
      </c>
      <c r="I113" s="55">
        <v>45</v>
      </c>
      <c r="J113" s="49" t="s">
        <v>36</v>
      </c>
      <c r="K113" s="49" t="s">
        <v>37</v>
      </c>
    </row>
    <row r="114" spans="1:11" ht="15.75" customHeight="1">
      <c r="A114" s="49">
        <v>13</v>
      </c>
      <c r="B114" s="49" t="s">
        <v>714</v>
      </c>
      <c r="C114" s="49" t="s">
        <v>227</v>
      </c>
      <c r="D114" s="49" t="s">
        <v>290</v>
      </c>
      <c r="E114" s="49" t="s">
        <v>232</v>
      </c>
      <c r="F114" s="49"/>
      <c r="G114" s="49" t="s">
        <v>35</v>
      </c>
      <c r="H114" s="50">
        <v>4000</v>
      </c>
      <c r="I114" s="55">
        <v>600</v>
      </c>
      <c r="J114" s="49" t="s">
        <v>36</v>
      </c>
      <c r="K114" s="49" t="s">
        <v>37</v>
      </c>
    </row>
    <row r="115" spans="1:11" ht="15.75" customHeight="1">
      <c r="A115" s="49">
        <v>13</v>
      </c>
      <c r="B115" s="49" t="s">
        <v>715</v>
      </c>
      <c r="C115" s="49" t="s">
        <v>227</v>
      </c>
      <c r="D115" s="49" t="s">
        <v>290</v>
      </c>
      <c r="E115" s="49" t="s">
        <v>232</v>
      </c>
      <c r="F115" s="49"/>
      <c r="G115" s="49" t="s">
        <v>35</v>
      </c>
      <c r="H115" s="50">
        <v>3500</v>
      </c>
      <c r="I115" s="55">
        <v>525</v>
      </c>
      <c r="J115" s="49" t="s">
        <v>36</v>
      </c>
      <c r="K115" s="49" t="s">
        <v>37</v>
      </c>
    </row>
    <row r="116" spans="1:11" ht="15.75" customHeight="1">
      <c r="A116" s="49">
        <v>13</v>
      </c>
      <c r="B116" s="49" t="s">
        <v>715</v>
      </c>
      <c r="C116" s="49" t="s">
        <v>227</v>
      </c>
      <c r="D116" s="49" t="s">
        <v>290</v>
      </c>
      <c r="E116" s="49" t="s">
        <v>232</v>
      </c>
      <c r="F116" s="49"/>
      <c r="G116" s="49" t="s">
        <v>35</v>
      </c>
      <c r="H116" s="50">
        <v>500</v>
      </c>
      <c r="I116" s="55"/>
      <c r="J116" s="49" t="s">
        <v>43</v>
      </c>
      <c r="K116" s="49" t="s">
        <v>37</v>
      </c>
    </row>
    <row r="117" spans="1:11" ht="15.75" customHeight="1">
      <c r="A117" s="49">
        <v>13</v>
      </c>
      <c r="B117" s="49" t="s">
        <v>716</v>
      </c>
      <c r="C117" s="49" t="s">
        <v>227</v>
      </c>
      <c r="D117" s="49" t="s">
        <v>290</v>
      </c>
      <c r="E117" s="49" t="s">
        <v>232</v>
      </c>
      <c r="F117" s="49"/>
      <c r="G117" s="49" t="s">
        <v>35</v>
      </c>
      <c r="H117" s="50">
        <v>5500</v>
      </c>
      <c r="I117" s="55">
        <v>825</v>
      </c>
      <c r="J117" s="49" t="s">
        <v>36</v>
      </c>
      <c r="K117" s="49" t="s">
        <v>37</v>
      </c>
    </row>
    <row r="118" spans="1:11" ht="15.75" customHeight="1">
      <c r="A118" s="49">
        <v>13</v>
      </c>
      <c r="B118" s="49" t="s">
        <v>716</v>
      </c>
      <c r="C118" s="49" t="s">
        <v>227</v>
      </c>
      <c r="D118" s="49" t="s">
        <v>290</v>
      </c>
      <c r="E118" s="49" t="s">
        <v>232</v>
      </c>
      <c r="F118" s="49"/>
      <c r="G118" s="49" t="s">
        <v>35</v>
      </c>
      <c r="H118" s="50">
        <v>500</v>
      </c>
      <c r="I118" s="55"/>
      <c r="J118" s="49" t="s">
        <v>43</v>
      </c>
      <c r="K118" s="49" t="s">
        <v>37</v>
      </c>
    </row>
    <row r="119" spans="1:11" ht="15.75" customHeight="1">
      <c r="A119" s="49">
        <v>13</v>
      </c>
      <c r="B119" s="49" t="s">
        <v>716</v>
      </c>
      <c r="C119" s="49" t="s">
        <v>227</v>
      </c>
      <c r="D119" s="49" t="s">
        <v>290</v>
      </c>
      <c r="E119" s="49" t="s">
        <v>232</v>
      </c>
      <c r="F119" s="49"/>
      <c r="G119" s="49" t="s">
        <v>86</v>
      </c>
      <c r="H119" s="50">
        <v>1000</v>
      </c>
      <c r="I119" s="55">
        <v>600</v>
      </c>
      <c r="J119" s="49" t="s">
        <v>36</v>
      </c>
      <c r="K119" s="49" t="s">
        <v>536</v>
      </c>
    </row>
    <row r="120" spans="1:11" ht="15.75" customHeight="1">
      <c r="A120" s="49">
        <v>13</v>
      </c>
      <c r="B120" s="49" t="s">
        <v>717</v>
      </c>
      <c r="C120" s="49" t="s">
        <v>227</v>
      </c>
      <c r="D120" s="49" t="s">
        <v>277</v>
      </c>
      <c r="E120" s="49" t="s">
        <v>232</v>
      </c>
      <c r="F120" s="49"/>
      <c r="G120" s="49" t="s">
        <v>35</v>
      </c>
      <c r="H120" s="50">
        <v>1500</v>
      </c>
      <c r="I120" s="55">
        <v>225</v>
      </c>
      <c r="J120" s="49" t="s">
        <v>36</v>
      </c>
      <c r="K120" s="49" t="s">
        <v>37</v>
      </c>
    </row>
    <row r="121" spans="1:11" ht="15.75" customHeight="1">
      <c r="A121" s="49">
        <v>13</v>
      </c>
      <c r="B121" s="49" t="s">
        <v>717</v>
      </c>
      <c r="C121" s="49" t="s">
        <v>227</v>
      </c>
      <c r="D121" s="49" t="s">
        <v>277</v>
      </c>
      <c r="E121" s="49" t="s">
        <v>232</v>
      </c>
      <c r="F121" s="49"/>
      <c r="G121" s="49" t="s">
        <v>86</v>
      </c>
      <c r="H121" s="50">
        <v>100</v>
      </c>
      <c r="I121" s="55">
        <v>60</v>
      </c>
      <c r="J121" s="49" t="s">
        <v>36</v>
      </c>
      <c r="K121" s="49" t="s">
        <v>37</v>
      </c>
    </row>
    <row r="122" spans="1:11" ht="15.75" customHeight="1">
      <c r="A122" s="49">
        <v>13</v>
      </c>
      <c r="B122" s="49" t="s">
        <v>411</v>
      </c>
      <c r="C122" s="49" t="s">
        <v>227</v>
      </c>
      <c r="D122" s="49" t="s">
        <v>231</v>
      </c>
      <c r="E122" s="49" t="s">
        <v>232</v>
      </c>
      <c r="F122" s="49"/>
      <c r="G122" s="49" t="s">
        <v>35</v>
      </c>
      <c r="H122" s="50">
        <v>500</v>
      </c>
      <c r="I122" s="55"/>
      <c r="J122" s="49" t="s">
        <v>43</v>
      </c>
      <c r="K122" s="49" t="s">
        <v>37</v>
      </c>
    </row>
    <row r="123" spans="1:11" ht="15.75" customHeight="1">
      <c r="A123" s="49">
        <v>13</v>
      </c>
      <c r="B123" s="49" t="s">
        <v>718</v>
      </c>
      <c r="C123" s="49" t="s">
        <v>246</v>
      </c>
      <c r="D123" s="49" t="s">
        <v>719</v>
      </c>
      <c r="E123" s="49" t="s">
        <v>254</v>
      </c>
      <c r="F123" s="49"/>
      <c r="G123" s="49" t="s">
        <v>35</v>
      </c>
      <c r="H123" s="50">
        <v>200</v>
      </c>
      <c r="I123" s="55">
        <v>30</v>
      </c>
      <c r="J123" s="49" t="s">
        <v>36</v>
      </c>
      <c r="K123" s="49" t="s">
        <v>37</v>
      </c>
    </row>
    <row r="124" spans="1:11" ht="15.75" customHeight="1">
      <c r="A124" s="49">
        <v>13</v>
      </c>
      <c r="B124" s="49" t="s">
        <v>720</v>
      </c>
      <c r="C124" s="49" t="s">
        <v>227</v>
      </c>
      <c r="D124" s="49" t="s">
        <v>721</v>
      </c>
      <c r="E124" s="49" t="s">
        <v>722</v>
      </c>
      <c r="F124" s="49"/>
      <c r="G124" s="49" t="s">
        <v>35</v>
      </c>
      <c r="H124" s="50">
        <v>2000</v>
      </c>
      <c r="I124" s="55">
        <v>300</v>
      </c>
      <c r="J124" s="49" t="s">
        <v>36</v>
      </c>
      <c r="K124" s="49" t="s">
        <v>37</v>
      </c>
    </row>
    <row r="125" spans="1:11" ht="15.75" customHeight="1">
      <c r="A125" s="49">
        <v>13</v>
      </c>
      <c r="B125" s="49" t="s">
        <v>723</v>
      </c>
      <c r="C125" s="49" t="s">
        <v>227</v>
      </c>
      <c r="D125" s="49" t="s">
        <v>724</v>
      </c>
      <c r="E125" s="49" t="s">
        <v>241</v>
      </c>
      <c r="F125" s="49"/>
      <c r="G125" s="49" t="s">
        <v>35</v>
      </c>
      <c r="H125" s="50">
        <v>30000</v>
      </c>
      <c r="I125" s="55">
        <v>4500</v>
      </c>
      <c r="J125" s="49" t="s">
        <v>36</v>
      </c>
      <c r="K125" s="49" t="s">
        <v>37</v>
      </c>
    </row>
    <row r="126" spans="1:11" ht="15.75" customHeight="1">
      <c r="A126" s="49">
        <v>13</v>
      </c>
      <c r="B126" s="49" t="s">
        <v>723</v>
      </c>
      <c r="C126" s="49" t="s">
        <v>227</v>
      </c>
      <c r="D126" s="49" t="s">
        <v>724</v>
      </c>
      <c r="E126" s="49" t="s">
        <v>241</v>
      </c>
      <c r="F126" s="49"/>
      <c r="G126" s="49" t="s">
        <v>35</v>
      </c>
      <c r="H126" s="50">
        <v>500</v>
      </c>
      <c r="I126" s="55"/>
      <c r="J126" s="49" t="s">
        <v>43</v>
      </c>
      <c r="K126" s="49" t="s">
        <v>37</v>
      </c>
    </row>
    <row r="127" spans="1:11" ht="15.75" customHeight="1">
      <c r="A127" s="49">
        <v>13</v>
      </c>
      <c r="B127" s="49" t="s">
        <v>725</v>
      </c>
      <c r="C127" s="49" t="s">
        <v>227</v>
      </c>
      <c r="D127" s="49" t="s">
        <v>405</v>
      </c>
      <c r="E127" s="49" t="s">
        <v>241</v>
      </c>
      <c r="F127" s="49"/>
      <c r="G127" s="49" t="s">
        <v>35</v>
      </c>
      <c r="H127" s="50">
        <v>500</v>
      </c>
      <c r="I127" s="55"/>
      <c r="J127" s="49" t="s">
        <v>43</v>
      </c>
      <c r="K127" s="49" t="s">
        <v>37</v>
      </c>
    </row>
    <row r="128" spans="1:11" ht="15.75" customHeight="1">
      <c r="A128" s="49">
        <v>15</v>
      </c>
      <c r="B128" s="49" t="s">
        <v>726</v>
      </c>
      <c r="C128" s="49" t="s">
        <v>227</v>
      </c>
      <c r="D128" s="49" t="s">
        <v>295</v>
      </c>
      <c r="E128" s="49" t="s">
        <v>248</v>
      </c>
      <c r="F128" s="49"/>
      <c r="G128" s="49" t="s">
        <v>35</v>
      </c>
      <c r="H128" s="50">
        <v>5000</v>
      </c>
      <c r="I128" s="55">
        <v>750</v>
      </c>
      <c r="J128" s="49" t="s">
        <v>36</v>
      </c>
      <c r="K128" s="49" t="s">
        <v>37</v>
      </c>
    </row>
    <row r="129" spans="1:11" ht="15.75" customHeight="1">
      <c r="A129" s="49">
        <v>15</v>
      </c>
      <c r="B129" s="49" t="s">
        <v>727</v>
      </c>
      <c r="C129" s="49" t="s">
        <v>227</v>
      </c>
      <c r="D129" s="49" t="s">
        <v>728</v>
      </c>
      <c r="E129" s="49" t="s">
        <v>184</v>
      </c>
      <c r="F129" s="49"/>
      <c r="G129" s="49" t="s">
        <v>35</v>
      </c>
      <c r="H129" s="50">
        <v>6000</v>
      </c>
      <c r="I129" s="55">
        <v>900</v>
      </c>
      <c r="J129" s="49" t="s">
        <v>36</v>
      </c>
      <c r="K129" s="49" t="s">
        <v>37</v>
      </c>
    </row>
    <row r="130" spans="1:11" ht="15.75" customHeight="1">
      <c r="A130" s="49">
        <v>15</v>
      </c>
      <c r="B130" s="49" t="s">
        <v>729</v>
      </c>
      <c r="C130" s="49" t="s">
        <v>227</v>
      </c>
      <c r="D130" s="49" t="s">
        <v>730</v>
      </c>
      <c r="E130" s="49" t="s">
        <v>164</v>
      </c>
      <c r="F130" s="49"/>
      <c r="G130" s="49" t="s">
        <v>35</v>
      </c>
      <c r="H130" s="50">
        <v>1000</v>
      </c>
      <c r="I130" s="55">
        <v>150</v>
      </c>
      <c r="J130" s="49" t="s">
        <v>36</v>
      </c>
      <c r="K130" s="49" t="s">
        <v>37</v>
      </c>
    </row>
    <row r="131" spans="1:11" ht="15.75" customHeight="1">
      <c r="A131" s="49">
        <v>15</v>
      </c>
      <c r="B131" s="49" t="s">
        <v>731</v>
      </c>
      <c r="C131" s="49" t="s">
        <v>227</v>
      </c>
      <c r="D131" s="49" t="s">
        <v>607</v>
      </c>
      <c r="E131" s="49" t="s">
        <v>235</v>
      </c>
      <c r="F131" s="49"/>
      <c r="G131" s="49" t="s">
        <v>242</v>
      </c>
      <c r="H131" s="50">
        <v>30</v>
      </c>
      <c r="I131" s="55">
        <v>90</v>
      </c>
      <c r="J131" s="49" t="s">
        <v>36</v>
      </c>
      <c r="K131" s="49" t="s">
        <v>37</v>
      </c>
    </row>
    <row r="132" spans="1:11" ht="15.75" customHeight="1">
      <c r="A132" s="49">
        <v>15</v>
      </c>
      <c r="B132" s="49" t="s">
        <v>732</v>
      </c>
      <c r="C132" s="49" t="s">
        <v>246</v>
      </c>
      <c r="D132" s="49" t="s">
        <v>733</v>
      </c>
      <c r="E132" s="49" t="s">
        <v>193</v>
      </c>
      <c r="F132" s="49"/>
      <c r="G132" s="49" t="s">
        <v>35</v>
      </c>
      <c r="H132" s="50">
        <v>8000</v>
      </c>
      <c r="I132" s="55">
        <v>1200</v>
      </c>
      <c r="J132" s="49" t="s">
        <v>36</v>
      </c>
      <c r="K132" s="49" t="s">
        <v>37</v>
      </c>
    </row>
    <row r="133" spans="1:11" ht="15.75" customHeight="1">
      <c r="A133" s="49">
        <v>15</v>
      </c>
      <c r="B133" s="49" t="s">
        <v>734</v>
      </c>
      <c r="C133" s="49" t="s">
        <v>227</v>
      </c>
      <c r="D133" s="49" t="s">
        <v>533</v>
      </c>
      <c r="E133" s="49" t="s">
        <v>41</v>
      </c>
      <c r="F133" s="49"/>
      <c r="G133" s="49" t="s">
        <v>35</v>
      </c>
      <c r="H133" s="50">
        <v>1200</v>
      </c>
      <c r="I133" s="55">
        <v>180</v>
      </c>
      <c r="J133" s="49" t="s">
        <v>36</v>
      </c>
      <c r="K133" s="49" t="s">
        <v>37</v>
      </c>
    </row>
    <row r="134" spans="1:11" ht="15.75" customHeight="1">
      <c r="A134" s="49">
        <v>15</v>
      </c>
      <c r="B134" s="49" t="s">
        <v>735</v>
      </c>
      <c r="C134" s="49" t="s">
        <v>246</v>
      </c>
      <c r="D134" s="49" t="s">
        <v>736</v>
      </c>
      <c r="E134" s="49" t="s">
        <v>232</v>
      </c>
      <c r="F134" s="49"/>
      <c r="G134" s="49" t="s">
        <v>35</v>
      </c>
      <c r="H134" s="50">
        <v>75</v>
      </c>
      <c r="I134" s="55"/>
      <c r="J134" s="49" t="s">
        <v>43</v>
      </c>
      <c r="K134" s="49" t="s">
        <v>37</v>
      </c>
    </row>
    <row r="135" spans="1:11" ht="15.75" customHeight="1">
      <c r="A135" s="49">
        <v>15</v>
      </c>
      <c r="B135" s="49" t="s">
        <v>737</v>
      </c>
      <c r="C135" s="49" t="s">
        <v>227</v>
      </c>
      <c r="D135" s="49" t="s">
        <v>738</v>
      </c>
      <c r="E135" s="49" t="s">
        <v>251</v>
      </c>
      <c r="F135" s="49"/>
      <c r="G135" s="49" t="s">
        <v>35</v>
      </c>
      <c r="H135" s="50">
        <v>100</v>
      </c>
      <c r="I135" s="55">
        <v>15</v>
      </c>
      <c r="J135" s="49" t="s">
        <v>36</v>
      </c>
      <c r="K135" s="49" t="s">
        <v>37</v>
      </c>
    </row>
    <row r="136" spans="1:11" ht="15.75" customHeight="1">
      <c r="A136" s="49">
        <v>15</v>
      </c>
      <c r="B136" s="49" t="s">
        <v>739</v>
      </c>
      <c r="C136" s="49" t="s">
        <v>227</v>
      </c>
      <c r="D136" s="49" t="s">
        <v>740</v>
      </c>
      <c r="E136" s="49" t="s">
        <v>251</v>
      </c>
      <c r="F136" s="49"/>
      <c r="G136" s="49" t="s">
        <v>35</v>
      </c>
      <c r="H136" s="50">
        <v>5000</v>
      </c>
      <c r="I136" s="55">
        <v>750</v>
      </c>
      <c r="J136" s="49" t="s">
        <v>36</v>
      </c>
      <c r="K136" s="49" t="s">
        <v>37</v>
      </c>
    </row>
    <row r="137" spans="1:11" ht="15.75" customHeight="1">
      <c r="A137" s="49">
        <v>15</v>
      </c>
      <c r="B137" s="49" t="s">
        <v>741</v>
      </c>
      <c r="C137" s="49" t="s">
        <v>227</v>
      </c>
      <c r="D137" s="49" t="s">
        <v>740</v>
      </c>
      <c r="E137" s="49" t="s">
        <v>251</v>
      </c>
      <c r="F137" s="49"/>
      <c r="G137" s="49" t="s">
        <v>86</v>
      </c>
      <c r="H137" s="50">
        <v>500</v>
      </c>
      <c r="I137" s="55">
        <v>300</v>
      </c>
      <c r="J137" s="49" t="s">
        <v>36</v>
      </c>
      <c r="K137" s="49" t="s">
        <v>37</v>
      </c>
    </row>
    <row r="138" spans="1:11" ht="15.75" customHeight="1">
      <c r="A138" s="49">
        <v>15</v>
      </c>
      <c r="B138" s="49" t="s">
        <v>742</v>
      </c>
      <c r="C138" s="49" t="s">
        <v>227</v>
      </c>
      <c r="D138" s="49" t="s">
        <v>743</v>
      </c>
      <c r="E138" s="49" t="s">
        <v>48</v>
      </c>
      <c r="F138" s="49"/>
      <c r="G138" s="49" t="s">
        <v>35</v>
      </c>
      <c r="H138" s="50">
        <v>400</v>
      </c>
      <c r="I138" s="55">
        <v>60</v>
      </c>
      <c r="J138" s="49" t="s">
        <v>36</v>
      </c>
      <c r="K138" s="49" t="s">
        <v>37</v>
      </c>
    </row>
    <row r="139" spans="1:11" ht="15.75" customHeight="1">
      <c r="A139" s="49">
        <v>16</v>
      </c>
      <c r="B139" s="49" t="s">
        <v>731</v>
      </c>
      <c r="C139" s="49" t="s">
        <v>227</v>
      </c>
      <c r="D139" s="49" t="s">
        <v>607</v>
      </c>
      <c r="E139" s="49" t="s">
        <v>235</v>
      </c>
      <c r="F139" s="49"/>
      <c r="G139" s="49" t="s">
        <v>242</v>
      </c>
      <c r="H139" s="50">
        <v>35</v>
      </c>
      <c r="I139" s="55">
        <v>105</v>
      </c>
      <c r="J139" s="49" t="s">
        <v>36</v>
      </c>
      <c r="K139" s="49" t="s">
        <v>37</v>
      </c>
    </row>
    <row r="140" spans="1:11" ht="15.75" customHeight="1">
      <c r="A140" s="49">
        <v>16</v>
      </c>
      <c r="B140" s="49" t="s">
        <v>744</v>
      </c>
      <c r="C140" s="49" t="s">
        <v>227</v>
      </c>
      <c r="D140" s="49" t="s">
        <v>32</v>
      </c>
      <c r="E140" s="49" t="s">
        <v>51</v>
      </c>
      <c r="F140" s="49"/>
      <c r="G140" s="49" t="s">
        <v>86</v>
      </c>
      <c r="H140" s="50">
        <v>1000</v>
      </c>
      <c r="I140" s="55">
        <v>600</v>
      </c>
      <c r="J140" s="49" t="s">
        <v>36</v>
      </c>
      <c r="K140" s="49" t="s">
        <v>37</v>
      </c>
    </row>
    <row r="141" spans="1:11" ht="15.75" customHeight="1">
      <c r="A141" s="49">
        <v>16</v>
      </c>
      <c r="B141" s="49" t="s">
        <v>745</v>
      </c>
      <c r="C141" s="49" t="s">
        <v>227</v>
      </c>
      <c r="D141" s="49" t="s">
        <v>33</v>
      </c>
      <c r="E141" s="49" t="s">
        <v>199</v>
      </c>
      <c r="F141" s="49"/>
      <c r="G141" s="49" t="s">
        <v>35</v>
      </c>
      <c r="H141" s="50">
        <v>500</v>
      </c>
      <c r="I141" s="55">
        <v>75</v>
      </c>
      <c r="J141" s="49" t="s">
        <v>36</v>
      </c>
      <c r="K141" s="49" t="s">
        <v>37</v>
      </c>
    </row>
    <row r="142" spans="1:11" ht="15.75" customHeight="1">
      <c r="A142" s="49">
        <v>16</v>
      </c>
      <c r="B142" s="49" t="s">
        <v>746</v>
      </c>
      <c r="C142" s="49" t="s">
        <v>227</v>
      </c>
      <c r="D142" s="49" t="s">
        <v>231</v>
      </c>
      <c r="E142" s="49" t="s">
        <v>232</v>
      </c>
      <c r="F142" s="49"/>
      <c r="G142" s="49" t="s">
        <v>86</v>
      </c>
      <c r="H142" s="50">
        <v>100</v>
      </c>
      <c r="I142" s="55">
        <v>60</v>
      </c>
      <c r="J142" s="49" t="s">
        <v>36</v>
      </c>
      <c r="K142" s="49" t="s">
        <v>37</v>
      </c>
    </row>
    <row r="143" spans="1:11" ht="15.75" customHeight="1">
      <c r="A143" s="49">
        <v>16</v>
      </c>
      <c r="B143" s="49" t="s">
        <v>747</v>
      </c>
      <c r="C143" s="49" t="s">
        <v>227</v>
      </c>
      <c r="D143" s="49" t="s">
        <v>362</v>
      </c>
      <c r="E143" s="49" t="s">
        <v>235</v>
      </c>
      <c r="F143" s="49"/>
      <c r="G143" s="49" t="s">
        <v>35</v>
      </c>
      <c r="H143" s="50">
        <v>5000</v>
      </c>
      <c r="I143" s="55">
        <v>750</v>
      </c>
      <c r="J143" s="49" t="s">
        <v>36</v>
      </c>
      <c r="K143" s="49" t="s">
        <v>37</v>
      </c>
    </row>
    <row r="144" spans="1:11" ht="15.75" customHeight="1">
      <c r="A144" s="49">
        <v>16</v>
      </c>
      <c r="B144" s="49" t="s">
        <v>748</v>
      </c>
      <c r="C144" s="49" t="s">
        <v>227</v>
      </c>
      <c r="D144" s="49" t="s">
        <v>749</v>
      </c>
      <c r="E144" s="49" t="s">
        <v>525</v>
      </c>
      <c r="F144" s="49"/>
      <c r="G144" s="49" t="s">
        <v>35</v>
      </c>
      <c r="H144" s="50">
        <v>300</v>
      </c>
      <c r="I144" s="55">
        <v>45</v>
      </c>
      <c r="J144" s="49" t="s">
        <v>36</v>
      </c>
      <c r="K144" s="49" t="s">
        <v>37</v>
      </c>
    </row>
    <row r="145" spans="1:11" ht="15.75" customHeight="1">
      <c r="A145" s="49">
        <v>16</v>
      </c>
      <c r="B145" s="49" t="s">
        <v>748</v>
      </c>
      <c r="C145" s="49" t="s">
        <v>227</v>
      </c>
      <c r="D145" s="49" t="s">
        <v>749</v>
      </c>
      <c r="E145" s="49" t="s">
        <v>525</v>
      </c>
      <c r="F145" s="49"/>
      <c r="G145" s="49" t="s">
        <v>86</v>
      </c>
      <c r="H145" s="50">
        <v>100</v>
      </c>
      <c r="I145" s="55">
        <v>60</v>
      </c>
      <c r="J145" s="49" t="s">
        <v>36</v>
      </c>
      <c r="K145" s="49" t="s">
        <v>37</v>
      </c>
    </row>
    <row r="146" spans="1:11" ht="15.75" customHeight="1">
      <c r="A146" s="49">
        <v>16</v>
      </c>
      <c r="B146" s="49" t="s">
        <v>750</v>
      </c>
      <c r="C146" s="49" t="s">
        <v>246</v>
      </c>
      <c r="D146" s="49" t="s">
        <v>751</v>
      </c>
      <c r="E146" s="49" t="s">
        <v>193</v>
      </c>
      <c r="F146" s="49"/>
      <c r="G146" s="49" t="s">
        <v>35</v>
      </c>
      <c r="H146" s="50">
        <v>3000</v>
      </c>
      <c r="I146" s="55">
        <v>450</v>
      </c>
      <c r="J146" s="49" t="s">
        <v>36</v>
      </c>
      <c r="K146" s="49" t="s">
        <v>37</v>
      </c>
    </row>
    <row r="147" spans="1:11" ht="15.75" customHeight="1">
      <c r="A147" s="49">
        <v>16</v>
      </c>
      <c r="B147" s="49" t="s">
        <v>750</v>
      </c>
      <c r="C147" s="49" t="s">
        <v>246</v>
      </c>
      <c r="D147" s="49" t="s">
        <v>751</v>
      </c>
      <c r="E147" s="49" t="s">
        <v>193</v>
      </c>
      <c r="F147" s="49"/>
      <c r="G147" s="49" t="s">
        <v>86</v>
      </c>
      <c r="H147" s="50">
        <v>80</v>
      </c>
      <c r="I147" s="55">
        <v>48</v>
      </c>
      <c r="J147" s="49" t="s">
        <v>36</v>
      </c>
      <c r="K147" s="49" t="s">
        <v>37</v>
      </c>
    </row>
    <row r="148" spans="1:11" ht="15.75" customHeight="1">
      <c r="A148" s="49">
        <v>16</v>
      </c>
      <c r="B148" s="49" t="s">
        <v>752</v>
      </c>
      <c r="C148" s="49" t="s">
        <v>227</v>
      </c>
      <c r="D148" s="49" t="s">
        <v>466</v>
      </c>
      <c r="E148" s="49" t="s">
        <v>48</v>
      </c>
      <c r="F148" s="49"/>
      <c r="G148" s="49" t="s">
        <v>35</v>
      </c>
      <c r="H148" s="50">
        <v>200</v>
      </c>
      <c r="I148" s="55">
        <v>30</v>
      </c>
      <c r="J148" s="49" t="s">
        <v>36</v>
      </c>
      <c r="K148" s="49" t="s">
        <v>37</v>
      </c>
    </row>
    <row r="149" spans="1:11" ht="15.75" customHeight="1">
      <c r="A149" s="49">
        <v>16</v>
      </c>
      <c r="B149" s="49" t="s">
        <v>752</v>
      </c>
      <c r="C149" s="49" t="s">
        <v>227</v>
      </c>
      <c r="D149" s="49" t="s">
        <v>466</v>
      </c>
      <c r="E149" s="49" t="s">
        <v>48</v>
      </c>
      <c r="F149" s="49"/>
      <c r="G149" s="49" t="s">
        <v>86</v>
      </c>
      <c r="H149" s="50">
        <v>100</v>
      </c>
      <c r="I149" s="55">
        <v>60</v>
      </c>
      <c r="J149" s="49" t="s">
        <v>36</v>
      </c>
      <c r="K149" s="49" t="s">
        <v>37</v>
      </c>
    </row>
    <row r="150" spans="1:11" ht="15.75" customHeight="1">
      <c r="A150" s="49">
        <v>16</v>
      </c>
      <c r="B150" s="49" t="s">
        <v>753</v>
      </c>
      <c r="C150" s="49" t="s">
        <v>227</v>
      </c>
      <c r="D150" s="49" t="s">
        <v>505</v>
      </c>
      <c r="E150" s="49" t="s">
        <v>235</v>
      </c>
      <c r="F150" s="49"/>
      <c r="G150" s="49" t="s">
        <v>35</v>
      </c>
      <c r="H150" s="50">
        <v>200</v>
      </c>
      <c r="I150" s="55">
        <v>30</v>
      </c>
      <c r="J150" s="49" t="s">
        <v>36</v>
      </c>
      <c r="K150" s="49" t="s">
        <v>37</v>
      </c>
    </row>
    <row r="151" spans="1:11" ht="15.75" customHeight="1">
      <c r="A151" s="49">
        <v>16</v>
      </c>
      <c r="B151" s="49" t="s">
        <v>754</v>
      </c>
      <c r="C151" s="49" t="s">
        <v>227</v>
      </c>
      <c r="D151" s="49" t="s">
        <v>505</v>
      </c>
      <c r="E151" s="49" t="s">
        <v>235</v>
      </c>
      <c r="F151" s="49"/>
      <c r="G151" s="49" t="s">
        <v>35</v>
      </c>
      <c r="H151" s="50">
        <v>100</v>
      </c>
      <c r="I151" s="55">
        <v>15</v>
      </c>
      <c r="J151" s="49" t="s">
        <v>36</v>
      </c>
      <c r="K151" s="49" t="s">
        <v>37</v>
      </c>
    </row>
    <row r="152" spans="1:11" ht="15.75" customHeight="1">
      <c r="A152" s="49">
        <v>16</v>
      </c>
      <c r="B152" s="49" t="s">
        <v>755</v>
      </c>
      <c r="C152" s="49" t="s">
        <v>246</v>
      </c>
      <c r="D152" s="49" t="s">
        <v>423</v>
      </c>
      <c r="E152" s="49" t="s">
        <v>248</v>
      </c>
      <c r="F152" s="49"/>
      <c r="G152" s="49" t="s">
        <v>35</v>
      </c>
      <c r="H152" s="50">
        <v>4000</v>
      </c>
      <c r="I152" s="55">
        <v>600</v>
      </c>
      <c r="J152" s="49" t="s">
        <v>36</v>
      </c>
      <c r="K152" s="49" t="s">
        <v>37</v>
      </c>
    </row>
    <row r="153" spans="1:11" ht="15.75" customHeight="1">
      <c r="A153" s="49">
        <v>16</v>
      </c>
      <c r="B153" s="49" t="s">
        <v>756</v>
      </c>
      <c r="C153" s="49" t="s">
        <v>227</v>
      </c>
      <c r="D153" s="49" t="s">
        <v>511</v>
      </c>
      <c r="E153" s="49" t="s">
        <v>321</v>
      </c>
      <c r="F153" s="49"/>
      <c r="G153" s="49" t="s">
        <v>35</v>
      </c>
      <c r="H153" s="50">
        <v>3000</v>
      </c>
      <c r="I153" s="55">
        <v>450</v>
      </c>
      <c r="J153" s="49" t="s">
        <v>36</v>
      </c>
      <c r="K153" s="49" t="s">
        <v>37</v>
      </c>
    </row>
    <row r="154" spans="1:11" ht="15.75" customHeight="1">
      <c r="A154" s="49">
        <v>16</v>
      </c>
      <c r="B154" s="49" t="s">
        <v>756</v>
      </c>
      <c r="C154" s="49" t="s">
        <v>227</v>
      </c>
      <c r="D154" s="49" t="s">
        <v>511</v>
      </c>
      <c r="E154" s="49" t="s">
        <v>321</v>
      </c>
      <c r="F154" s="49"/>
      <c r="G154" s="49" t="s">
        <v>86</v>
      </c>
      <c r="H154" s="50">
        <v>400</v>
      </c>
      <c r="I154" s="55">
        <v>240</v>
      </c>
      <c r="J154" s="49" t="s">
        <v>36</v>
      </c>
      <c r="K154" s="49" t="s">
        <v>37</v>
      </c>
    </row>
    <row r="155" spans="1:11" ht="15.75" customHeight="1">
      <c r="A155" s="49">
        <v>17</v>
      </c>
      <c r="B155" s="49" t="s">
        <v>757</v>
      </c>
      <c r="C155" s="49" t="s">
        <v>227</v>
      </c>
      <c r="D155" s="49" t="s">
        <v>758</v>
      </c>
      <c r="E155" s="49" t="s">
        <v>51</v>
      </c>
      <c r="F155" s="49"/>
      <c r="G155" s="49" t="s">
        <v>35</v>
      </c>
      <c r="H155" s="50">
        <v>500</v>
      </c>
      <c r="I155" s="55">
        <v>75</v>
      </c>
      <c r="J155" s="49" t="s">
        <v>36</v>
      </c>
      <c r="K155" s="49" t="s">
        <v>37</v>
      </c>
    </row>
    <row r="156" spans="1:11" ht="15.75" customHeight="1">
      <c r="A156" s="49">
        <v>17</v>
      </c>
      <c r="B156" s="49" t="s">
        <v>759</v>
      </c>
      <c r="C156" s="49" t="s">
        <v>227</v>
      </c>
      <c r="D156" s="49" t="s">
        <v>760</v>
      </c>
      <c r="E156" s="49" t="s">
        <v>241</v>
      </c>
      <c r="F156" s="49"/>
      <c r="G156" s="49" t="s">
        <v>35</v>
      </c>
      <c r="H156" s="50">
        <v>1500</v>
      </c>
      <c r="I156" s="55">
        <v>225</v>
      </c>
      <c r="J156" s="49" t="s">
        <v>36</v>
      </c>
      <c r="K156" s="49" t="s">
        <v>37</v>
      </c>
    </row>
    <row r="157" spans="1:11" ht="15.75" customHeight="1">
      <c r="A157" s="49">
        <v>17</v>
      </c>
      <c r="B157" s="49" t="s">
        <v>761</v>
      </c>
      <c r="C157" s="49" t="s">
        <v>227</v>
      </c>
      <c r="D157" s="49" t="s">
        <v>472</v>
      </c>
      <c r="E157" s="49" t="s">
        <v>48</v>
      </c>
      <c r="F157" s="49"/>
      <c r="G157" s="49" t="s">
        <v>35</v>
      </c>
      <c r="H157" s="50">
        <v>600</v>
      </c>
      <c r="I157" s="55">
        <v>90</v>
      </c>
      <c r="J157" s="49" t="s">
        <v>36</v>
      </c>
      <c r="K157" s="49" t="s">
        <v>37</v>
      </c>
    </row>
    <row r="158" spans="1:11" ht="15.75" customHeight="1">
      <c r="A158" s="49">
        <v>17</v>
      </c>
      <c r="B158" s="49" t="s">
        <v>761</v>
      </c>
      <c r="C158" s="49" t="s">
        <v>227</v>
      </c>
      <c r="D158" s="49" t="s">
        <v>472</v>
      </c>
      <c r="E158" s="49" t="s">
        <v>48</v>
      </c>
      <c r="F158" s="49"/>
      <c r="G158" s="49" t="s">
        <v>86</v>
      </c>
      <c r="H158" s="50">
        <v>100</v>
      </c>
      <c r="I158" s="55">
        <v>60</v>
      </c>
      <c r="J158" s="49" t="s">
        <v>36</v>
      </c>
      <c r="K158" s="49" t="s">
        <v>37</v>
      </c>
    </row>
    <row r="159" spans="1:11" ht="15.75" customHeight="1">
      <c r="A159" s="49">
        <v>17</v>
      </c>
      <c r="B159" s="49" t="s">
        <v>762</v>
      </c>
      <c r="C159" s="49" t="s">
        <v>227</v>
      </c>
      <c r="D159" s="49" t="s">
        <v>763</v>
      </c>
      <c r="E159" s="49" t="s">
        <v>235</v>
      </c>
      <c r="F159" s="49"/>
      <c r="G159" s="49" t="s">
        <v>35</v>
      </c>
      <c r="H159" s="50">
        <v>200</v>
      </c>
      <c r="I159" s="55">
        <v>30</v>
      </c>
      <c r="J159" s="49" t="s">
        <v>36</v>
      </c>
      <c r="K159" s="49" t="s">
        <v>37</v>
      </c>
    </row>
    <row r="160" spans="1:11" ht="15.75" customHeight="1">
      <c r="A160" s="49">
        <v>17</v>
      </c>
      <c r="B160" s="49" t="s">
        <v>764</v>
      </c>
      <c r="C160" s="49" t="s">
        <v>227</v>
      </c>
      <c r="D160" s="49" t="s">
        <v>607</v>
      </c>
      <c r="E160" s="49" t="s">
        <v>235</v>
      </c>
      <c r="F160" s="49"/>
      <c r="G160" s="49" t="s">
        <v>35</v>
      </c>
      <c r="H160" s="50">
        <v>200</v>
      </c>
      <c r="I160" s="55">
        <v>30</v>
      </c>
      <c r="J160" s="49" t="s">
        <v>36</v>
      </c>
      <c r="K160" s="49" t="s">
        <v>37</v>
      </c>
    </row>
    <row r="161" spans="1:11" ht="15.75" customHeight="1">
      <c r="A161" s="49">
        <v>17</v>
      </c>
      <c r="B161" s="49" t="s">
        <v>765</v>
      </c>
      <c r="C161" s="49" t="s">
        <v>246</v>
      </c>
      <c r="D161" s="49" t="s">
        <v>564</v>
      </c>
      <c r="E161" s="49" t="s">
        <v>507</v>
      </c>
      <c r="F161" s="49"/>
      <c r="G161" s="49" t="s">
        <v>35</v>
      </c>
      <c r="H161" s="50">
        <v>2000</v>
      </c>
      <c r="I161" s="55">
        <v>300</v>
      </c>
      <c r="J161" s="49" t="s">
        <v>36</v>
      </c>
      <c r="K161" s="49" t="s">
        <v>37</v>
      </c>
    </row>
    <row r="162" spans="1:11" ht="15.75" customHeight="1">
      <c r="A162" s="49">
        <v>17</v>
      </c>
      <c r="B162" s="49" t="s">
        <v>765</v>
      </c>
      <c r="C162" s="49" t="s">
        <v>246</v>
      </c>
      <c r="D162" s="49" t="s">
        <v>564</v>
      </c>
      <c r="E162" s="49" t="s">
        <v>507</v>
      </c>
      <c r="F162" s="49"/>
      <c r="G162" s="49" t="s">
        <v>35</v>
      </c>
      <c r="H162" s="50">
        <v>500</v>
      </c>
      <c r="I162" s="55"/>
      <c r="J162" s="49" t="s">
        <v>43</v>
      </c>
      <c r="K162" s="49" t="s">
        <v>37</v>
      </c>
    </row>
    <row r="163" spans="1:11" ht="15.75" customHeight="1">
      <c r="A163" s="49">
        <v>17</v>
      </c>
      <c r="B163" s="49" t="s">
        <v>766</v>
      </c>
      <c r="C163" s="49" t="s">
        <v>227</v>
      </c>
      <c r="D163" s="49" t="s">
        <v>385</v>
      </c>
      <c r="E163" s="49" t="s">
        <v>232</v>
      </c>
      <c r="F163" s="49"/>
      <c r="G163" s="49" t="s">
        <v>35</v>
      </c>
      <c r="H163" s="50">
        <v>1500</v>
      </c>
      <c r="I163" s="55">
        <v>225</v>
      </c>
      <c r="J163" s="49" t="s">
        <v>36</v>
      </c>
      <c r="K163" s="49" t="s">
        <v>37</v>
      </c>
    </row>
    <row r="164" spans="1:11" ht="15.75" customHeight="1">
      <c r="A164" s="49">
        <v>17</v>
      </c>
      <c r="B164" s="49" t="s">
        <v>767</v>
      </c>
      <c r="C164" s="49" t="s">
        <v>227</v>
      </c>
      <c r="D164" s="49" t="s">
        <v>768</v>
      </c>
      <c r="E164" s="49" t="s">
        <v>251</v>
      </c>
      <c r="F164" s="49"/>
      <c r="G164" s="49" t="s">
        <v>35</v>
      </c>
      <c r="H164" s="50">
        <v>100</v>
      </c>
      <c r="I164" s="55">
        <v>15</v>
      </c>
      <c r="J164" s="49" t="s">
        <v>36</v>
      </c>
      <c r="K164" s="49" t="s">
        <v>37</v>
      </c>
    </row>
    <row r="165" spans="1:11" ht="15.75" customHeight="1">
      <c r="A165" s="49">
        <v>17</v>
      </c>
      <c r="B165" s="49" t="s">
        <v>767</v>
      </c>
      <c r="C165" s="49" t="s">
        <v>227</v>
      </c>
      <c r="D165" s="49" t="s">
        <v>768</v>
      </c>
      <c r="E165" s="49" t="s">
        <v>251</v>
      </c>
      <c r="F165" s="49"/>
      <c r="G165" s="49" t="s">
        <v>86</v>
      </c>
      <c r="H165" s="50">
        <v>200</v>
      </c>
      <c r="I165" s="55">
        <v>120</v>
      </c>
      <c r="J165" s="49" t="s">
        <v>36</v>
      </c>
      <c r="K165" s="49" t="s">
        <v>37</v>
      </c>
    </row>
    <row r="166" spans="1:11" ht="15.75" customHeight="1">
      <c r="A166" s="49">
        <v>17</v>
      </c>
      <c r="B166" s="49" t="s">
        <v>769</v>
      </c>
      <c r="C166" s="49" t="s">
        <v>227</v>
      </c>
      <c r="D166" s="49" t="s">
        <v>770</v>
      </c>
      <c r="E166" s="49" t="s">
        <v>235</v>
      </c>
      <c r="F166" s="49"/>
      <c r="G166" s="49" t="s">
        <v>35</v>
      </c>
      <c r="H166" s="50">
        <v>900</v>
      </c>
      <c r="I166" s="55">
        <v>135</v>
      </c>
      <c r="J166" s="49" t="s">
        <v>36</v>
      </c>
      <c r="K166" s="49" t="s">
        <v>37</v>
      </c>
    </row>
    <row r="167" spans="1:11" ht="15.75" customHeight="1">
      <c r="A167" s="49">
        <v>17</v>
      </c>
      <c r="B167" s="49" t="s">
        <v>771</v>
      </c>
      <c r="C167" s="49" t="s">
        <v>227</v>
      </c>
      <c r="D167" s="49" t="s">
        <v>772</v>
      </c>
      <c r="E167" s="49" t="s">
        <v>232</v>
      </c>
      <c r="F167" s="49"/>
      <c r="G167" s="49" t="s">
        <v>35</v>
      </c>
      <c r="H167" s="50">
        <v>200</v>
      </c>
      <c r="I167" s="55">
        <v>30</v>
      </c>
      <c r="J167" s="49" t="s">
        <v>36</v>
      </c>
      <c r="K167" s="49" t="s">
        <v>37</v>
      </c>
    </row>
    <row r="168" spans="1:11" ht="15.75" customHeight="1">
      <c r="A168" s="49">
        <v>17</v>
      </c>
      <c r="B168" s="49" t="s">
        <v>771</v>
      </c>
      <c r="C168" s="49" t="s">
        <v>227</v>
      </c>
      <c r="D168" s="49" t="s">
        <v>772</v>
      </c>
      <c r="E168" s="49" t="s">
        <v>232</v>
      </c>
      <c r="F168" s="49"/>
      <c r="G168" s="49" t="s">
        <v>86</v>
      </c>
      <c r="H168" s="50">
        <v>100</v>
      </c>
      <c r="I168" s="55">
        <v>60</v>
      </c>
      <c r="J168" s="49" t="s">
        <v>36</v>
      </c>
      <c r="K168" s="49" t="s">
        <v>37</v>
      </c>
    </row>
    <row r="169" spans="1:11" ht="15.75" customHeight="1">
      <c r="A169" s="49">
        <v>18</v>
      </c>
      <c r="B169" s="49" t="s">
        <v>773</v>
      </c>
      <c r="C169" s="49" t="s">
        <v>227</v>
      </c>
      <c r="D169" s="49" t="s">
        <v>774</v>
      </c>
      <c r="E169" s="49" t="s">
        <v>235</v>
      </c>
      <c r="F169" s="49"/>
      <c r="G169" s="49" t="s">
        <v>35</v>
      </c>
      <c r="H169" s="50">
        <v>1000</v>
      </c>
      <c r="I169" s="55">
        <v>150</v>
      </c>
      <c r="J169" s="49" t="s">
        <v>36</v>
      </c>
      <c r="K169" s="49" t="s">
        <v>37</v>
      </c>
    </row>
    <row r="170" spans="1:11" ht="15.75" customHeight="1">
      <c r="A170" s="49">
        <v>18</v>
      </c>
      <c r="B170" s="49" t="s">
        <v>775</v>
      </c>
      <c r="C170" s="49" t="s">
        <v>227</v>
      </c>
      <c r="D170" s="49" t="s">
        <v>776</v>
      </c>
      <c r="E170" s="49" t="s">
        <v>251</v>
      </c>
      <c r="F170" s="49"/>
      <c r="G170" s="49" t="s">
        <v>35</v>
      </c>
      <c r="H170" s="50">
        <v>1000</v>
      </c>
      <c r="I170" s="55">
        <v>150</v>
      </c>
      <c r="J170" s="49" t="s">
        <v>36</v>
      </c>
      <c r="K170" s="49" t="s">
        <v>37</v>
      </c>
    </row>
    <row r="171" spans="1:11" ht="15.75" customHeight="1">
      <c r="A171" s="49">
        <v>18</v>
      </c>
      <c r="B171" s="49" t="s">
        <v>777</v>
      </c>
      <c r="C171" s="49" t="s">
        <v>227</v>
      </c>
      <c r="D171" s="49" t="s">
        <v>598</v>
      </c>
      <c r="E171" s="49" t="s">
        <v>232</v>
      </c>
      <c r="F171" s="49"/>
      <c r="G171" s="49" t="s">
        <v>35</v>
      </c>
      <c r="H171" s="50">
        <v>3500</v>
      </c>
      <c r="I171" s="55">
        <v>525</v>
      </c>
      <c r="J171" s="49" t="s">
        <v>36</v>
      </c>
      <c r="K171" s="49" t="s">
        <v>37</v>
      </c>
    </row>
    <row r="172" spans="1:11" ht="15.75" customHeight="1">
      <c r="A172" s="49">
        <v>18</v>
      </c>
      <c r="B172" s="49" t="s">
        <v>777</v>
      </c>
      <c r="C172" s="49" t="s">
        <v>227</v>
      </c>
      <c r="D172" s="49" t="s">
        <v>598</v>
      </c>
      <c r="E172" s="49" t="s">
        <v>232</v>
      </c>
      <c r="F172" s="49"/>
      <c r="G172" s="49" t="s">
        <v>86</v>
      </c>
      <c r="H172" s="50">
        <v>100</v>
      </c>
      <c r="I172" s="55">
        <v>60</v>
      </c>
      <c r="J172" s="49" t="s">
        <v>36</v>
      </c>
      <c r="K172" s="49" t="s">
        <v>37</v>
      </c>
    </row>
    <row r="173" spans="1:11" ht="15.75" customHeight="1">
      <c r="A173" s="49">
        <v>18</v>
      </c>
      <c r="B173" s="49" t="s">
        <v>778</v>
      </c>
      <c r="C173" s="49" t="s">
        <v>227</v>
      </c>
      <c r="D173" s="49" t="s">
        <v>198</v>
      </c>
      <c r="E173" s="49" t="s">
        <v>142</v>
      </c>
      <c r="F173" s="49"/>
      <c r="G173" s="49" t="s">
        <v>35</v>
      </c>
      <c r="H173" s="50">
        <v>2900</v>
      </c>
      <c r="I173" s="55">
        <v>435</v>
      </c>
      <c r="J173" s="49" t="s">
        <v>36</v>
      </c>
      <c r="K173" s="49" t="s">
        <v>37</v>
      </c>
    </row>
    <row r="174" spans="1:11" ht="15.75" customHeight="1">
      <c r="A174" s="49">
        <v>18</v>
      </c>
      <c r="B174" s="49" t="s">
        <v>778</v>
      </c>
      <c r="C174" s="49" t="s">
        <v>227</v>
      </c>
      <c r="D174" s="49" t="s">
        <v>198</v>
      </c>
      <c r="E174" s="49" t="s">
        <v>142</v>
      </c>
      <c r="F174" s="49"/>
      <c r="G174" s="49" t="s">
        <v>86</v>
      </c>
      <c r="H174" s="50">
        <v>300</v>
      </c>
      <c r="I174" s="55">
        <v>180</v>
      </c>
      <c r="J174" s="49" t="s">
        <v>36</v>
      </c>
      <c r="K174" s="49" t="s">
        <v>37</v>
      </c>
    </row>
    <row r="175" spans="1:11" ht="15.75" customHeight="1">
      <c r="A175" s="49">
        <v>18</v>
      </c>
      <c r="B175" s="49" t="s">
        <v>779</v>
      </c>
      <c r="C175" s="49" t="s">
        <v>227</v>
      </c>
      <c r="D175" s="49" t="s">
        <v>780</v>
      </c>
      <c r="E175" s="49" t="s">
        <v>80</v>
      </c>
      <c r="F175" s="49"/>
      <c r="G175" s="49" t="s">
        <v>35</v>
      </c>
      <c r="H175" s="50">
        <v>5000</v>
      </c>
      <c r="I175" s="55">
        <v>750</v>
      </c>
      <c r="J175" s="49" t="s">
        <v>36</v>
      </c>
      <c r="K175" s="49" t="s">
        <v>37</v>
      </c>
    </row>
    <row r="176" spans="1:11" ht="15.75" customHeight="1">
      <c r="A176" s="49">
        <v>18</v>
      </c>
      <c r="B176" s="49" t="s">
        <v>726</v>
      </c>
      <c r="C176" s="49" t="s">
        <v>227</v>
      </c>
      <c r="D176" s="49" t="s">
        <v>295</v>
      </c>
      <c r="E176" s="49" t="s">
        <v>248</v>
      </c>
      <c r="F176" s="49"/>
      <c r="G176" s="49" t="s">
        <v>35</v>
      </c>
      <c r="H176" s="50">
        <v>3000</v>
      </c>
      <c r="I176" s="55">
        <v>450</v>
      </c>
      <c r="J176" s="49" t="s">
        <v>36</v>
      </c>
      <c r="K176" s="49" t="s">
        <v>37</v>
      </c>
    </row>
    <row r="177" spans="1:11" ht="15.75" customHeight="1">
      <c r="A177" s="49">
        <v>18</v>
      </c>
      <c r="B177" s="49" t="s">
        <v>781</v>
      </c>
      <c r="C177" s="49" t="s">
        <v>227</v>
      </c>
      <c r="D177" s="49" t="s">
        <v>679</v>
      </c>
      <c r="E177" s="49" t="s">
        <v>232</v>
      </c>
      <c r="F177" s="49"/>
      <c r="G177" s="49" t="s">
        <v>35</v>
      </c>
      <c r="H177" s="50">
        <v>1000</v>
      </c>
      <c r="I177" s="55">
        <v>150</v>
      </c>
      <c r="J177" s="49" t="s">
        <v>36</v>
      </c>
      <c r="K177" s="49" t="s">
        <v>37</v>
      </c>
    </row>
    <row r="178" spans="1:11" ht="15.75" customHeight="1">
      <c r="A178" s="49">
        <v>18</v>
      </c>
      <c r="B178" s="49" t="s">
        <v>333</v>
      </c>
      <c r="C178" s="49" t="s">
        <v>227</v>
      </c>
      <c r="D178" s="49" t="s">
        <v>782</v>
      </c>
      <c r="E178" s="49" t="s">
        <v>335</v>
      </c>
      <c r="F178" s="49"/>
      <c r="G178" s="49" t="s">
        <v>35</v>
      </c>
      <c r="H178" s="50">
        <v>10000</v>
      </c>
      <c r="I178" s="55">
        <v>1500</v>
      </c>
      <c r="J178" s="49" t="s">
        <v>36</v>
      </c>
      <c r="K178" s="49" t="s">
        <v>37</v>
      </c>
    </row>
    <row r="179" spans="1:11" ht="15.75" customHeight="1">
      <c r="A179" s="49">
        <v>18</v>
      </c>
      <c r="B179" s="49" t="s">
        <v>783</v>
      </c>
      <c r="C179" s="49" t="s">
        <v>246</v>
      </c>
      <c r="D179" s="49" t="s">
        <v>784</v>
      </c>
      <c r="E179" s="49" t="s">
        <v>199</v>
      </c>
      <c r="F179" s="49"/>
      <c r="G179" s="49" t="s">
        <v>35</v>
      </c>
      <c r="H179" s="50">
        <v>4000</v>
      </c>
      <c r="I179" s="55">
        <v>600</v>
      </c>
      <c r="J179" s="49" t="s">
        <v>36</v>
      </c>
      <c r="K179" s="49" t="s">
        <v>37</v>
      </c>
    </row>
    <row r="180" spans="1:11" ht="15.75" customHeight="1">
      <c r="A180" s="49">
        <v>19</v>
      </c>
      <c r="B180" s="49" t="s">
        <v>785</v>
      </c>
      <c r="C180" s="49" t="s">
        <v>227</v>
      </c>
      <c r="D180" s="49" t="s">
        <v>740</v>
      </c>
      <c r="E180" s="49" t="s">
        <v>251</v>
      </c>
      <c r="F180" s="49"/>
      <c r="G180" s="49" t="s">
        <v>35</v>
      </c>
      <c r="H180" s="50">
        <v>600</v>
      </c>
      <c r="I180" s="55">
        <v>90</v>
      </c>
      <c r="J180" s="49" t="s">
        <v>36</v>
      </c>
      <c r="K180" s="49" t="s">
        <v>37</v>
      </c>
    </row>
    <row r="181" spans="1:11" ht="15.75" customHeight="1">
      <c r="A181" s="49">
        <v>19</v>
      </c>
      <c r="B181" s="49" t="s">
        <v>785</v>
      </c>
      <c r="C181" s="49" t="s">
        <v>227</v>
      </c>
      <c r="D181" s="49" t="s">
        <v>740</v>
      </c>
      <c r="E181" s="49" t="s">
        <v>251</v>
      </c>
      <c r="F181" s="49"/>
      <c r="G181" s="49" t="s">
        <v>86</v>
      </c>
      <c r="H181" s="50">
        <v>100</v>
      </c>
      <c r="I181" s="55">
        <v>60</v>
      </c>
      <c r="J181" s="49" t="s">
        <v>36</v>
      </c>
      <c r="K181" s="49" t="s">
        <v>37</v>
      </c>
    </row>
    <row r="182" spans="1:11" ht="15.75" customHeight="1">
      <c r="A182" s="49">
        <v>19</v>
      </c>
      <c r="B182" s="49" t="s">
        <v>786</v>
      </c>
      <c r="C182" s="49" t="s">
        <v>227</v>
      </c>
      <c r="D182" s="49" t="s">
        <v>277</v>
      </c>
      <c r="E182" s="49" t="s">
        <v>232</v>
      </c>
      <c r="F182" s="49"/>
      <c r="G182" s="49" t="s">
        <v>35</v>
      </c>
      <c r="H182" s="50">
        <v>4000</v>
      </c>
      <c r="I182" s="55">
        <v>600</v>
      </c>
      <c r="J182" s="49" t="s">
        <v>36</v>
      </c>
      <c r="K182" s="49" t="s">
        <v>37</v>
      </c>
    </row>
    <row r="183" spans="1:11" ht="15.75" customHeight="1">
      <c r="A183" s="49">
        <v>19</v>
      </c>
      <c r="B183" s="49" t="s">
        <v>786</v>
      </c>
      <c r="C183" s="49" t="s">
        <v>227</v>
      </c>
      <c r="D183" s="49" t="s">
        <v>277</v>
      </c>
      <c r="E183" s="49" t="s">
        <v>232</v>
      </c>
      <c r="F183" s="49"/>
      <c r="G183" s="49" t="s">
        <v>86</v>
      </c>
      <c r="H183" s="50">
        <v>200</v>
      </c>
      <c r="I183" s="55">
        <v>120</v>
      </c>
      <c r="J183" s="49" t="s">
        <v>36</v>
      </c>
      <c r="K183" s="49" t="s">
        <v>37</v>
      </c>
    </row>
    <row r="184" spans="1:11" ht="15.75" customHeight="1">
      <c r="A184" s="49">
        <v>19</v>
      </c>
      <c r="B184" s="49" t="s">
        <v>787</v>
      </c>
      <c r="C184" s="49" t="s">
        <v>227</v>
      </c>
      <c r="D184" s="49" t="s">
        <v>164</v>
      </c>
      <c r="E184" s="49" t="s">
        <v>321</v>
      </c>
      <c r="F184" s="49"/>
      <c r="G184" s="49" t="s">
        <v>35</v>
      </c>
      <c r="H184" s="50">
        <v>4000</v>
      </c>
      <c r="I184" s="55">
        <v>600</v>
      </c>
      <c r="J184" s="49" t="s">
        <v>36</v>
      </c>
      <c r="K184" s="49" t="s">
        <v>37</v>
      </c>
    </row>
    <row r="185" spans="1:11" ht="15.75" customHeight="1">
      <c r="A185" s="49">
        <v>19</v>
      </c>
      <c r="B185" s="49" t="s">
        <v>787</v>
      </c>
      <c r="C185" s="49" t="s">
        <v>227</v>
      </c>
      <c r="D185" s="49" t="s">
        <v>164</v>
      </c>
      <c r="E185" s="49" t="s">
        <v>321</v>
      </c>
      <c r="F185" s="49"/>
      <c r="G185" s="49" t="s">
        <v>86</v>
      </c>
      <c r="H185" s="50">
        <v>1000</v>
      </c>
      <c r="I185" s="55">
        <v>600</v>
      </c>
      <c r="J185" s="49" t="s">
        <v>36</v>
      </c>
      <c r="K185" s="49" t="s">
        <v>37</v>
      </c>
    </row>
    <row r="186" spans="1:11" ht="15.75" customHeight="1">
      <c r="A186" s="49">
        <v>19</v>
      </c>
      <c r="B186" s="49" t="s">
        <v>788</v>
      </c>
      <c r="C186" s="49" t="s">
        <v>227</v>
      </c>
      <c r="D186" s="49" t="s">
        <v>330</v>
      </c>
      <c r="E186" s="49" t="s">
        <v>48</v>
      </c>
      <c r="F186" s="49"/>
      <c r="G186" s="49" t="s">
        <v>35</v>
      </c>
      <c r="H186" s="50">
        <v>1500</v>
      </c>
      <c r="I186" s="55">
        <v>225</v>
      </c>
      <c r="J186" s="49" t="s">
        <v>36</v>
      </c>
      <c r="K186" s="49" t="s">
        <v>37</v>
      </c>
    </row>
    <row r="187" spans="1:11" ht="15.75" customHeight="1">
      <c r="A187" s="49">
        <v>19</v>
      </c>
      <c r="B187" s="49" t="s">
        <v>789</v>
      </c>
      <c r="C187" s="49" t="s">
        <v>227</v>
      </c>
      <c r="D187" s="49" t="s">
        <v>33</v>
      </c>
      <c r="E187" s="49" t="s">
        <v>41</v>
      </c>
      <c r="F187" s="49"/>
      <c r="G187" s="49" t="s">
        <v>35</v>
      </c>
      <c r="H187" s="50">
        <v>1000</v>
      </c>
      <c r="I187" s="55">
        <v>150</v>
      </c>
      <c r="J187" s="49" t="s">
        <v>36</v>
      </c>
      <c r="K187" s="49" t="s">
        <v>37</v>
      </c>
    </row>
    <row r="188" spans="1:11" ht="15.75" customHeight="1">
      <c r="A188" s="49">
        <v>19</v>
      </c>
      <c r="B188" s="49" t="s">
        <v>790</v>
      </c>
      <c r="C188" s="49" t="s">
        <v>227</v>
      </c>
      <c r="D188" s="49" t="s">
        <v>758</v>
      </c>
      <c r="E188" s="49" t="s">
        <v>254</v>
      </c>
      <c r="F188" s="49"/>
      <c r="G188" s="49" t="s">
        <v>35</v>
      </c>
      <c r="H188" s="50">
        <v>200</v>
      </c>
      <c r="I188" s="55">
        <v>50</v>
      </c>
      <c r="J188" s="49" t="s">
        <v>36</v>
      </c>
      <c r="K188" s="49" t="s">
        <v>37</v>
      </c>
    </row>
    <row r="189" spans="1:11" ht="15.75" customHeight="1">
      <c r="A189" s="49">
        <v>19</v>
      </c>
      <c r="B189" s="49" t="s">
        <v>791</v>
      </c>
      <c r="C189" s="49" t="s">
        <v>227</v>
      </c>
      <c r="D189" s="49" t="s">
        <v>792</v>
      </c>
      <c r="E189" s="49" t="s">
        <v>722</v>
      </c>
      <c r="F189" s="49"/>
      <c r="G189" s="49" t="s">
        <v>35</v>
      </c>
      <c r="H189" s="50">
        <v>300</v>
      </c>
      <c r="I189" s="55">
        <v>45</v>
      </c>
      <c r="J189" s="49" t="s">
        <v>36</v>
      </c>
      <c r="K189" s="49" t="s">
        <v>37</v>
      </c>
    </row>
    <row r="190" spans="1:11" ht="15.75" customHeight="1">
      <c r="A190" s="49">
        <v>20</v>
      </c>
      <c r="B190" s="49" t="s">
        <v>793</v>
      </c>
      <c r="C190" s="49" t="s">
        <v>246</v>
      </c>
      <c r="D190" s="49" t="s">
        <v>751</v>
      </c>
      <c r="E190" s="49" t="s">
        <v>41</v>
      </c>
      <c r="F190" s="49"/>
      <c r="G190" s="49" t="s">
        <v>35</v>
      </c>
      <c r="H190" s="50">
        <v>5000</v>
      </c>
      <c r="I190" s="55">
        <v>750</v>
      </c>
      <c r="J190" s="49" t="s">
        <v>36</v>
      </c>
      <c r="K190" s="49" t="s">
        <v>37</v>
      </c>
    </row>
    <row r="191" spans="1:11" ht="15.75" customHeight="1">
      <c r="A191" s="49">
        <v>20</v>
      </c>
      <c r="B191" s="49" t="s">
        <v>794</v>
      </c>
      <c r="C191" s="49" t="s">
        <v>227</v>
      </c>
      <c r="D191" s="49" t="s">
        <v>385</v>
      </c>
      <c r="E191" s="49" t="s">
        <v>232</v>
      </c>
      <c r="F191" s="49"/>
      <c r="G191" s="49" t="s">
        <v>35</v>
      </c>
      <c r="H191" s="50">
        <v>1500</v>
      </c>
      <c r="I191" s="55">
        <v>225</v>
      </c>
      <c r="J191" s="49" t="s">
        <v>36</v>
      </c>
      <c r="K191" s="49" t="s">
        <v>37</v>
      </c>
    </row>
    <row r="192" spans="1:11" ht="15.75" customHeight="1">
      <c r="A192" s="49">
        <v>20</v>
      </c>
      <c r="B192" s="49" t="s">
        <v>795</v>
      </c>
      <c r="C192" s="49" t="s">
        <v>227</v>
      </c>
      <c r="D192" s="49" t="s">
        <v>323</v>
      </c>
      <c r="E192" s="49" t="s">
        <v>232</v>
      </c>
      <c r="F192" s="49"/>
      <c r="G192" s="49" t="s">
        <v>35</v>
      </c>
      <c r="H192" s="50">
        <v>3000</v>
      </c>
      <c r="I192" s="55">
        <v>450</v>
      </c>
      <c r="J192" s="49" t="s">
        <v>36</v>
      </c>
      <c r="K192" s="49" t="s">
        <v>37</v>
      </c>
    </row>
    <row r="193" spans="1:11" ht="15.75" customHeight="1">
      <c r="A193" s="49">
        <v>20</v>
      </c>
      <c r="B193" s="49" t="s">
        <v>796</v>
      </c>
      <c r="C193" s="49" t="s">
        <v>227</v>
      </c>
      <c r="D193" s="49" t="s">
        <v>323</v>
      </c>
      <c r="E193" s="49" t="s">
        <v>232</v>
      </c>
      <c r="F193" s="49"/>
      <c r="G193" s="49" t="s">
        <v>86</v>
      </c>
      <c r="H193" s="50">
        <v>500</v>
      </c>
      <c r="I193" s="55">
        <v>300</v>
      </c>
      <c r="J193" s="49" t="s">
        <v>36</v>
      </c>
      <c r="K193" s="49" t="s">
        <v>37</v>
      </c>
    </row>
    <row r="194" spans="1:11" ht="15.75" customHeight="1">
      <c r="A194" s="49">
        <v>20</v>
      </c>
      <c r="B194" s="49" t="s">
        <v>797</v>
      </c>
      <c r="C194" s="49" t="s">
        <v>227</v>
      </c>
      <c r="D194" s="49" t="s">
        <v>798</v>
      </c>
      <c r="E194" s="49" t="s">
        <v>248</v>
      </c>
      <c r="F194" s="49"/>
      <c r="G194" s="49" t="s">
        <v>35</v>
      </c>
      <c r="H194" s="50">
        <v>1500</v>
      </c>
      <c r="I194" s="55">
        <v>225</v>
      </c>
      <c r="J194" s="49" t="s">
        <v>36</v>
      </c>
      <c r="K194" s="49" t="s">
        <v>37</v>
      </c>
    </row>
    <row r="195" spans="1:11" ht="15.75" customHeight="1">
      <c r="A195" s="49">
        <v>20</v>
      </c>
      <c r="B195" s="49" t="s">
        <v>799</v>
      </c>
      <c r="C195" s="49" t="s">
        <v>246</v>
      </c>
      <c r="D195" s="49" t="s">
        <v>619</v>
      </c>
      <c r="E195" s="49" t="s">
        <v>193</v>
      </c>
      <c r="F195" s="49"/>
      <c r="G195" s="49" t="s">
        <v>35</v>
      </c>
      <c r="H195" s="50">
        <v>4000</v>
      </c>
      <c r="I195" s="55">
        <v>600</v>
      </c>
      <c r="J195" s="49" t="s">
        <v>36</v>
      </c>
      <c r="K195" s="49" t="s">
        <v>37</v>
      </c>
    </row>
    <row r="196" spans="1:11" ht="15.75" customHeight="1">
      <c r="A196" s="49">
        <v>20</v>
      </c>
      <c r="B196" s="49" t="s">
        <v>800</v>
      </c>
      <c r="C196" s="49" t="s">
        <v>227</v>
      </c>
      <c r="D196" s="49" t="s">
        <v>801</v>
      </c>
      <c r="E196" s="49" t="s">
        <v>525</v>
      </c>
      <c r="F196" s="49"/>
      <c r="G196" s="49" t="s">
        <v>35</v>
      </c>
      <c r="H196" s="50">
        <v>100</v>
      </c>
      <c r="I196" s="55">
        <v>15</v>
      </c>
      <c r="J196" s="49" t="s">
        <v>36</v>
      </c>
      <c r="K196" s="49" t="s">
        <v>37</v>
      </c>
    </row>
    <row r="197" spans="1:11" ht="15.75" customHeight="1">
      <c r="A197" s="49">
        <v>21</v>
      </c>
      <c r="B197" s="49" t="s">
        <v>802</v>
      </c>
      <c r="C197" s="49" t="s">
        <v>246</v>
      </c>
      <c r="D197" s="49" t="s">
        <v>342</v>
      </c>
      <c r="E197" s="49" t="s">
        <v>307</v>
      </c>
      <c r="F197" s="49"/>
      <c r="G197" s="49" t="s">
        <v>35</v>
      </c>
      <c r="H197" s="50">
        <v>1000</v>
      </c>
      <c r="I197" s="55">
        <v>150</v>
      </c>
      <c r="J197" s="49" t="s">
        <v>36</v>
      </c>
      <c r="K197" s="49" t="s">
        <v>37</v>
      </c>
    </row>
    <row r="198" spans="1:11" ht="15.75" customHeight="1">
      <c r="A198" s="49">
        <v>21</v>
      </c>
      <c r="B198" s="49" t="s">
        <v>498</v>
      </c>
      <c r="C198" s="49" t="s">
        <v>227</v>
      </c>
      <c r="D198" s="49" t="s">
        <v>803</v>
      </c>
      <c r="E198" s="49" t="s">
        <v>323</v>
      </c>
      <c r="F198" s="49"/>
      <c r="G198" s="49" t="s">
        <v>35</v>
      </c>
      <c r="H198" s="50">
        <v>1500</v>
      </c>
      <c r="I198" s="55">
        <v>225</v>
      </c>
      <c r="J198" s="49" t="s">
        <v>36</v>
      </c>
      <c r="K198" s="49" t="s">
        <v>37</v>
      </c>
    </row>
    <row r="199" spans="1:11" ht="15.75" customHeight="1">
      <c r="A199" s="49">
        <v>21</v>
      </c>
      <c r="B199" s="49" t="s">
        <v>804</v>
      </c>
      <c r="C199" s="49" t="s">
        <v>227</v>
      </c>
      <c r="D199" s="49" t="s">
        <v>805</v>
      </c>
      <c r="E199" s="49" t="s">
        <v>307</v>
      </c>
      <c r="F199" s="49"/>
      <c r="G199" s="49" t="s">
        <v>35</v>
      </c>
      <c r="H199" s="50">
        <v>2000</v>
      </c>
      <c r="I199" s="55">
        <v>300</v>
      </c>
      <c r="J199" s="49" t="s">
        <v>36</v>
      </c>
      <c r="K199" s="49" t="s">
        <v>37</v>
      </c>
    </row>
    <row r="200" spans="1:11" ht="15.75" customHeight="1">
      <c r="A200" s="49">
        <v>21</v>
      </c>
      <c r="B200" s="49" t="s">
        <v>806</v>
      </c>
      <c r="C200" s="49" t="s">
        <v>227</v>
      </c>
      <c r="D200" s="49" t="s">
        <v>362</v>
      </c>
      <c r="E200" s="49" t="s">
        <v>235</v>
      </c>
      <c r="F200" s="49"/>
      <c r="G200" s="49" t="s">
        <v>35</v>
      </c>
      <c r="H200" s="50">
        <v>2000</v>
      </c>
      <c r="I200" s="55">
        <v>300</v>
      </c>
      <c r="J200" s="49" t="s">
        <v>36</v>
      </c>
      <c r="K200" s="49" t="s">
        <v>37</v>
      </c>
    </row>
    <row r="201" spans="1:11" ht="15.75" customHeight="1">
      <c r="A201" s="49">
        <v>22</v>
      </c>
      <c r="B201" s="49" t="s">
        <v>807</v>
      </c>
      <c r="C201" s="49" t="s">
        <v>227</v>
      </c>
      <c r="D201" s="49" t="s">
        <v>277</v>
      </c>
      <c r="E201" s="49" t="s">
        <v>232</v>
      </c>
      <c r="F201" s="49"/>
      <c r="G201" s="49" t="s">
        <v>35</v>
      </c>
      <c r="H201" s="50">
        <v>1000</v>
      </c>
      <c r="I201" s="55">
        <v>150</v>
      </c>
      <c r="J201" s="49" t="s">
        <v>36</v>
      </c>
      <c r="K201" s="49" t="s">
        <v>37</v>
      </c>
    </row>
    <row r="202" spans="1:11" ht="15.75" customHeight="1">
      <c r="A202" s="49">
        <v>22</v>
      </c>
      <c r="B202" s="49" t="s">
        <v>807</v>
      </c>
      <c r="C202" s="49" t="s">
        <v>227</v>
      </c>
      <c r="D202" s="49" t="s">
        <v>277</v>
      </c>
      <c r="E202" s="49" t="s">
        <v>232</v>
      </c>
      <c r="F202" s="49"/>
      <c r="G202" s="49" t="s">
        <v>86</v>
      </c>
      <c r="H202" s="50">
        <v>1000</v>
      </c>
      <c r="I202" s="55">
        <v>600</v>
      </c>
      <c r="J202" s="49" t="s">
        <v>36</v>
      </c>
      <c r="K202" s="49" t="s">
        <v>37</v>
      </c>
    </row>
    <row r="203" spans="1:11" ht="15.75" customHeight="1">
      <c r="A203" s="49">
        <v>22</v>
      </c>
      <c r="B203" s="49" t="s">
        <v>808</v>
      </c>
      <c r="C203" s="49" t="s">
        <v>227</v>
      </c>
      <c r="D203" s="49" t="s">
        <v>277</v>
      </c>
      <c r="E203" s="49" t="s">
        <v>232</v>
      </c>
      <c r="F203" s="49"/>
      <c r="G203" s="49" t="s">
        <v>35</v>
      </c>
      <c r="H203" s="50">
        <v>1000</v>
      </c>
      <c r="I203" s="55">
        <v>150</v>
      </c>
      <c r="J203" s="49" t="s">
        <v>36</v>
      </c>
      <c r="K203" s="49" t="s">
        <v>37</v>
      </c>
    </row>
    <row r="204" spans="1:11" ht="15.75" customHeight="1">
      <c r="A204" s="49">
        <v>22</v>
      </c>
      <c r="B204" s="49" t="s">
        <v>808</v>
      </c>
      <c r="C204" s="49" t="s">
        <v>227</v>
      </c>
      <c r="D204" s="49" t="s">
        <v>277</v>
      </c>
      <c r="E204" s="49" t="s">
        <v>232</v>
      </c>
      <c r="F204" s="49"/>
      <c r="G204" s="49" t="s">
        <v>86</v>
      </c>
      <c r="H204" s="50">
        <v>200</v>
      </c>
      <c r="I204" s="55">
        <v>120</v>
      </c>
      <c r="J204" s="49" t="s">
        <v>36</v>
      </c>
      <c r="K204" s="49" t="s">
        <v>37</v>
      </c>
    </row>
    <row r="205" spans="1:11" ht="15.75" customHeight="1">
      <c r="A205" s="49">
        <v>22</v>
      </c>
      <c r="B205" s="49" t="s">
        <v>809</v>
      </c>
      <c r="C205" s="49" t="s">
        <v>246</v>
      </c>
      <c r="D205" s="49" t="s">
        <v>198</v>
      </c>
      <c r="E205" s="49" t="s">
        <v>199</v>
      </c>
      <c r="F205" s="49"/>
      <c r="G205" s="49" t="s">
        <v>35</v>
      </c>
      <c r="H205" s="50">
        <v>20000</v>
      </c>
      <c r="I205" s="55">
        <v>3000</v>
      </c>
      <c r="J205" s="49" t="s">
        <v>36</v>
      </c>
      <c r="K205" s="49" t="s">
        <v>37</v>
      </c>
    </row>
    <row r="206" spans="1:11" ht="15.75" customHeight="1">
      <c r="A206" s="49">
        <v>22</v>
      </c>
      <c r="B206" s="49" t="s">
        <v>810</v>
      </c>
      <c r="C206" s="49" t="s">
        <v>227</v>
      </c>
      <c r="D206" s="49" t="s">
        <v>619</v>
      </c>
      <c r="E206" s="49" t="s">
        <v>193</v>
      </c>
      <c r="F206" s="49"/>
      <c r="G206" s="49" t="s">
        <v>35</v>
      </c>
      <c r="H206" s="50">
        <v>2000</v>
      </c>
      <c r="I206" s="55">
        <v>300</v>
      </c>
      <c r="J206" s="49" t="s">
        <v>36</v>
      </c>
      <c r="K206" s="49" t="s">
        <v>37</v>
      </c>
    </row>
    <row r="207" spans="1:11" ht="15.75" customHeight="1">
      <c r="A207" s="49">
        <v>22</v>
      </c>
      <c r="B207" s="49" t="s">
        <v>811</v>
      </c>
      <c r="C207" s="49" t="s">
        <v>227</v>
      </c>
      <c r="D207" s="49" t="s">
        <v>812</v>
      </c>
      <c r="E207" s="49" t="s">
        <v>321</v>
      </c>
      <c r="F207" s="49"/>
      <c r="G207" s="49" t="s">
        <v>35</v>
      </c>
      <c r="H207" s="50">
        <v>6000</v>
      </c>
      <c r="I207" s="55">
        <v>900</v>
      </c>
      <c r="J207" s="49" t="s">
        <v>36</v>
      </c>
      <c r="K207" s="49" t="s">
        <v>37</v>
      </c>
    </row>
    <row r="208" spans="1:11" ht="15.75" customHeight="1">
      <c r="A208" s="49">
        <v>22</v>
      </c>
      <c r="B208" s="49" t="s">
        <v>811</v>
      </c>
      <c r="C208" s="49" t="s">
        <v>227</v>
      </c>
      <c r="D208" s="49" t="s">
        <v>812</v>
      </c>
      <c r="E208" s="49" t="s">
        <v>321</v>
      </c>
      <c r="F208" s="49"/>
      <c r="G208" s="49" t="s">
        <v>86</v>
      </c>
      <c r="H208" s="50">
        <v>300</v>
      </c>
      <c r="I208" s="55">
        <v>180</v>
      </c>
      <c r="J208" s="49" t="s">
        <v>36</v>
      </c>
      <c r="K208" s="49" t="s">
        <v>37</v>
      </c>
    </row>
    <row r="209" spans="1:11" ht="15.75" customHeight="1">
      <c r="A209" s="49">
        <v>22</v>
      </c>
      <c r="B209" s="49" t="s">
        <v>813</v>
      </c>
      <c r="C209" s="49" t="s">
        <v>227</v>
      </c>
      <c r="D209" s="49" t="s">
        <v>231</v>
      </c>
      <c r="E209" s="49" t="s">
        <v>232</v>
      </c>
      <c r="F209" s="49"/>
      <c r="G209" s="49" t="s">
        <v>35</v>
      </c>
      <c r="H209" s="50">
        <v>200</v>
      </c>
      <c r="I209" s="55">
        <v>30</v>
      </c>
      <c r="J209" s="49" t="s">
        <v>36</v>
      </c>
      <c r="K209" s="49" t="s">
        <v>37</v>
      </c>
    </row>
    <row r="210" spans="1:11" ht="15.75" customHeight="1">
      <c r="A210" s="49">
        <v>22</v>
      </c>
      <c r="B210" s="49" t="s">
        <v>814</v>
      </c>
      <c r="C210" s="49" t="s">
        <v>246</v>
      </c>
      <c r="D210" s="49" t="s">
        <v>613</v>
      </c>
      <c r="E210" s="49" t="s">
        <v>507</v>
      </c>
      <c r="F210" s="49"/>
      <c r="G210" s="49" t="s">
        <v>35</v>
      </c>
      <c r="H210" s="50">
        <v>2000</v>
      </c>
      <c r="I210" s="55">
        <v>300</v>
      </c>
      <c r="J210" s="49" t="s">
        <v>36</v>
      </c>
      <c r="K210" s="49" t="s">
        <v>37</v>
      </c>
    </row>
    <row r="211" spans="1:11" ht="15.75" customHeight="1">
      <c r="A211" s="49">
        <v>23</v>
      </c>
      <c r="B211" s="49" t="s">
        <v>815</v>
      </c>
      <c r="C211" s="49" t="s">
        <v>246</v>
      </c>
      <c r="D211" s="49" t="s">
        <v>816</v>
      </c>
      <c r="E211" s="49" t="s">
        <v>817</v>
      </c>
      <c r="F211" s="49"/>
      <c r="G211" s="49" t="s">
        <v>35</v>
      </c>
      <c r="H211" s="50">
        <v>2000</v>
      </c>
      <c r="I211" s="55">
        <v>300</v>
      </c>
      <c r="J211" s="49" t="s">
        <v>36</v>
      </c>
      <c r="K211" s="49" t="s">
        <v>37</v>
      </c>
    </row>
    <row r="212" spans="1:11" ht="15.75" customHeight="1">
      <c r="A212" s="49">
        <v>23</v>
      </c>
      <c r="B212" s="49" t="s">
        <v>815</v>
      </c>
      <c r="C212" s="49" t="s">
        <v>246</v>
      </c>
      <c r="D212" s="49" t="s">
        <v>816</v>
      </c>
      <c r="E212" s="49" t="s">
        <v>817</v>
      </c>
      <c r="F212" s="49"/>
      <c r="G212" s="49" t="s">
        <v>86</v>
      </c>
      <c r="H212" s="50">
        <v>100</v>
      </c>
      <c r="I212" s="55">
        <v>60</v>
      </c>
      <c r="J212" s="49" t="s">
        <v>36</v>
      </c>
      <c r="K212" s="49" t="s">
        <v>37</v>
      </c>
    </row>
    <row r="213" spans="1:11" ht="15.75" customHeight="1">
      <c r="A213" s="49">
        <v>23</v>
      </c>
      <c r="B213" s="49" t="s">
        <v>818</v>
      </c>
      <c r="C213" s="49" t="s">
        <v>246</v>
      </c>
      <c r="D213" s="49" t="s">
        <v>819</v>
      </c>
      <c r="E213" s="49" t="s">
        <v>248</v>
      </c>
      <c r="F213" s="49"/>
      <c r="G213" s="49" t="s">
        <v>86</v>
      </c>
      <c r="H213" s="50">
        <v>3000</v>
      </c>
      <c r="I213" s="55">
        <v>1800</v>
      </c>
      <c r="J213" s="49" t="s">
        <v>36</v>
      </c>
      <c r="K213" s="49" t="s">
        <v>37</v>
      </c>
    </row>
    <row r="214" spans="1:11" ht="15.75" customHeight="1">
      <c r="A214" s="49">
        <v>23</v>
      </c>
      <c r="B214" s="49" t="s">
        <v>818</v>
      </c>
      <c r="C214" s="49" t="s">
        <v>246</v>
      </c>
      <c r="D214" s="49" t="s">
        <v>819</v>
      </c>
      <c r="E214" s="49" t="s">
        <v>248</v>
      </c>
      <c r="F214" s="49"/>
      <c r="G214" s="49" t="s">
        <v>242</v>
      </c>
      <c r="H214" s="50">
        <v>10</v>
      </c>
      <c r="I214" s="55">
        <v>30</v>
      </c>
      <c r="J214" s="49" t="s">
        <v>36</v>
      </c>
      <c r="K214" s="49" t="s">
        <v>37</v>
      </c>
    </row>
    <row r="215" spans="1:11" ht="15.75" customHeight="1">
      <c r="A215" s="49">
        <v>23</v>
      </c>
      <c r="B215" s="49" t="s">
        <v>820</v>
      </c>
      <c r="C215" s="49" t="s">
        <v>227</v>
      </c>
      <c r="D215" s="49" t="s">
        <v>821</v>
      </c>
      <c r="E215" s="49" t="s">
        <v>251</v>
      </c>
      <c r="F215" s="49"/>
      <c r="G215" s="49" t="s">
        <v>822</v>
      </c>
      <c r="H215" s="50">
        <v>100</v>
      </c>
      <c r="I215" s="55">
        <v>100</v>
      </c>
      <c r="J215" s="49" t="s">
        <v>36</v>
      </c>
      <c r="K215" s="49" t="s">
        <v>37</v>
      </c>
    </row>
    <row r="216" spans="1:11" ht="15.75" customHeight="1">
      <c r="A216" s="49">
        <v>23</v>
      </c>
      <c r="B216" s="49" t="s">
        <v>823</v>
      </c>
      <c r="C216" s="49" t="s">
        <v>246</v>
      </c>
      <c r="D216" s="49" t="s">
        <v>423</v>
      </c>
      <c r="E216" s="49" t="s">
        <v>248</v>
      </c>
      <c r="F216" s="49"/>
      <c r="G216" s="49" t="s">
        <v>35</v>
      </c>
      <c r="H216" s="50">
        <v>2500</v>
      </c>
      <c r="I216" s="55">
        <v>375</v>
      </c>
      <c r="J216" s="49" t="s">
        <v>36</v>
      </c>
      <c r="K216" s="49" t="s">
        <v>37</v>
      </c>
    </row>
    <row r="217" spans="1:11" ht="15.75" customHeight="1">
      <c r="A217" s="49">
        <v>23</v>
      </c>
      <c r="B217" s="49" t="s">
        <v>233</v>
      </c>
      <c r="C217" s="49" t="s">
        <v>227</v>
      </c>
      <c r="D217" s="49" t="s">
        <v>234</v>
      </c>
      <c r="E217" s="49" t="s">
        <v>824</v>
      </c>
      <c r="F217" s="49"/>
      <c r="G217" s="49" t="s">
        <v>35</v>
      </c>
      <c r="H217" s="50">
        <v>2000</v>
      </c>
      <c r="I217" s="55">
        <v>300</v>
      </c>
      <c r="J217" s="49" t="s">
        <v>36</v>
      </c>
      <c r="K217" s="49" t="s">
        <v>37</v>
      </c>
    </row>
    <row r="218" spans="1:11" ht="15.75" customHeight="1">
      <c r="A218" s="49">
        <v>23</v>
      </c>
      <c r="B218" s="49" t="s">
        <v>825</v>
      </c>
      <c r="C218" s="49" t="s">
        <v>246</v>
      </c>
      <c r="D218" s="49" t="s">
        <v>826</v>
      </c>
      <c r="E218" s="49" t="s">
        <v>106</v>
      </c>
      <c r="F218" s="49"/>
      <c r="G218" s="49" t="s">
        <v>35</v>
      </c>
      <c r="H218" s="50">
        <v>2000</v>
      </c>
      <c r="I218" s="55">
        <v>300</v>
      </c>
      <c r="J218" s="49" t="s">
        <v>36</v>
      </c>
      <c r="K218" s="49" t="s">
        <v>37</v>
      </c>
    </row>
    <row r="219" spans="1:11" ht="15.75" customHeight="1">
      <c r="A219" s="49">
        <v>23</v>
      </c>
      <c r="B219" s="49" t="s">
        <v>825</v>
      </c>
      <c r="C219" s="49" t="s">
        <v>246</v>
      </c>
      <c r="D219" s="49" t="s">
        <v>826</v>
      </c>
      <c r="E219" s="49" t="s">
        <v>106</v>
      </c>
      <c r="F219" s="49"/>
      <c r="G219" s="49" t="s">
        <v>86</v>
      </c>
      <c r="H219" s="50">
        <v>100</v>
      </c>
      <c r="I219" s="55">
        <v>60</v>
      </c>
      <c r="J219" s="49" t="s">
        <v>36</v>
      </c>
      <c r="K219" s="49" t="s">
        <v>37</v>
      </c>
    </row>
    <row r="220" spans="1:11" ht="15.75" customHeight="1">
      <c r="A220" s="49">
        <v>24</v>
      </c>
      <c r="B220" s="49" t="s">
        <v>827</v>
      </c>
      <c r="C220" s="49" t="s">
        <v>227</v>
      </c>
      <c r="D220" s="49" t="s">
        <v>32</v>
      </c>
      <c r="E220" s="49" t="s">
        <v>232</v>
      </c>
      <c r="F220" s="49"/>
      <c r="G220" s="49" t="s">
        <v>35</v>
      </c>
      <c r="H220" s="50">
        <v>100</v>
      </c>
      <c r="I220" s="55">
        <v>15</v>
      </c>
      <c r="J220" s="49" t="s">
        <v>36</v>
      </c>
      <c r="K220" s="49" t="s">
        <v>37</v>
      </c>
    </row>
    <row r="221" spans="1:11" ht="15.75" customHeight="1">
      <c r="A221" s="49">
        <v>25</v>
      </c>
      <c r="B221" s="49" t="s">
        <v>828</v>
      </c>
      <c r="C221" s="49" t="s">
        <v>246</v>
      </c>
      <c r="D221" s="49" t="s">
        <v>290</v>
      </c>
      <c r="E221" s="49" t="s">
        <v>232</v>
      </c>
      <c r="F221" s="49"/>
      <c r="G221" s="49" t="s">
        <v>35</v>
      </c>
      <c r="H221" s="50">
        <v>500</v>
      </c>
      <c r="I221" s="55">
        <v>75</v>
      </c>
      <c r="J221" s="49" t="s">
        <v>36</v>
      </c>
      <c r="K221" s="49" t="s">
        <v>37</v>
      </c>
    </row>
    <row r="222" spans="1:11" ht="15.75" customHeight="1">
      <c r="A222" s="49">
        <v>25</v>
      </c>
      <c r="B222" s="49" t="s">
        <v>829</v>
      </c>
      <c r="C222" s="49" t="s">
        <v>246</v>
      </c>
      <c r="D222" s="49" t="s">
        <v>290</v>
      </c>
      <c r="E222" s="49" t="s">
        <v>232</v>
      </c>
      <c r="F222" s="49"/>
      <c r="G222" s="49" t="s">
        <v>86</v>
      </c>
      <c r="H222" s="50">
        <v>100</v>
      </c>
      <c r="I222" s="55">
        <v>60</v>
      </c>
      <c r="J222" s="49" t="s">
        <v>36</v>
      </c>
      <c r="K222" s="49" t="s">
        <v>37</v>
      </c>
    </row>
    <row r="223" spans="1:11" ht="15.75" customHeight="1">
      <c r="A223" s="49">
        <v>25</v>
      </c>
      <c r="B223" s="49" t="s">
        <v>830</v>
      </c>
      <c r="C223" s="49" t="s">
        <v>227</v>
      </c>
      <c r="D223" s="49" t="s">
        <v>444</v>
      </c>
      <c r="E223" s="49" t="s">
        <v>235</v>
      </c>
      <c r="F223" s="49"/>
      <c r="G223" s="49" t="s">
        <v>35</v>
      </c>
      <c r="H223" s="50">
        <v>700</v>
      </c>
      <c r="I223" s="55">
        <v>105</v>
      </c>
      <c r="J223" s="49" t="s">
        <v>36</v>
      </c>
      <c r="K223" s="49" t="s">
        <v>37</v>
      </c>
    </row>
    <row r="224" spans="1:11" ht="15.75" customHeight="1">
      <c r="A224" s="49">
        <v>25</v>
      </c>
      <c r="B224" s="49" t="s">
        <v>831</v>
      </c>
      <c r="C224" s="49" t="s">
        <v>227</v>
      </c>
      <c r="D224" s="49" t="s">
        <v>743</v>
      </c>
      <c r="E224" s="49" t="s">
        <v>48</v>
      </c>
      <c r="F224" s="49"/>
      <c r="G224" s="49" t="s">
        <v>35</v>
      </c>
      <c r="H224" s="50">
        <v>1200</v>
      </c>
      <c r="I224" s="55">
        <v>180</v>
      </c>
      <c r="J224" s="49" t="s">
        <v>36</v>
      </c>
      <c r="K224" s="49" t="s">
        <v>37</v>
      </c>
    </row>
    <row r="225" spans="1:11" ht="15.75" customHeight="1">
      <c r="A225" s="49">
        <v>25</v>
      </c>
      <c r="B225" s="49" t="s">
        <v>832</v>
      </c>
      <c r="C225" s="49" t="s">
        <v>246</v>
      </c>
      <c r="D225" s="49" t="s">
        <v>833</v>
      </c>
      <c r="E225" s="49" t="s">
        <v>48</v>
      </c>
      <c r="F225" s="49"/>
      <c r="G225" s="49" t="s">
        <v>35</v>
      </c>
      <c r="H225" s="50">
        <v>1000</v>
      </c>
      <c r="I225" s="55">
        <v>150</v>
      </c>
      <c r="J225" s="49" t="s">
        <v>36</v>
      </c>
      <c r="K225" s="49" t="s">
        <v>37</v>
      </c>
    </row>
    <row r="226" spans="1:11" ht="15.75" customHeight="1">
      <c r="A226" s="49">
        <v>25</v>
      </c>
      <c r="B226" s="49" t="s">
        <v>832</v>
      </c>
      <c r="C226" s="49" t="s">
        <v>246</v>
      </c>
      <c r="D226" s="49" t="s">
        <v>833</v>
      </c>
      <c r="E226" s="49" t="s">
        <v>48</v>
      </c>
      <c r="F226" s="49"/>
      <c r="G226" s="49" t="s">
        <v>86</v>
      </c>
      <c r="H226" s="50">
        <v>100</v>
      </c>
      <c r="I226" s="55">
        <v>60</v>
      </c>
      <c r="J226" s="49" t="s">
        <v>36</v>
      </c>
      <c r="K226" s="49" t="s">
        <v>37</v>
      </c>
    </row>
    <row r="227" spans="1:11" ht="15.75" customHeight="1">
      <c r="A227" s="49">
        <v>25</v>
      </c>
      <c r="B227" s="49" t="s">
        <v>834</v>
      </c>
      <c r="C227" s="49" t="s">
        <v>227</v>
      </c>
      <c r="D227" s="49" t="s">
        <v>32</v>
      </c>
      <c r="E227" s="49" t="s">
        <v>307</v>
      </c>
      <c r="F227" s="49"/>
      <c r="G227" s="49" t="s">
        <v>86</v>
      </c>
      <c r="H227" s="50">
        <v>100</v>
      </c>
      <c r="I227" s="55">
        <v>60</v>
      </c>
      <c r="J227" s="49" t="s">
        <v>36</v>
      </c>
      <c r="K227" s="49" t="s">
        <v>37</v>
      </c>
    </row>
    <row r="228" spans="1:11" ht="15.75" customHeight="1">
      <c r="A228" s="49">
        <v>25</v>
      </c>
      <c r="B228" s="49" t="s">
        <v>835</v>
      </c>
      <c r="C228" s="49" t="s">
        <v>227</v>
      </c>
      <c r="D228" s="49" t="s">
        <v>772</v>
      </c>
      <c r="E228" s="49" t="s">
        <v>232</v>
      </c>
      <c r="F228" s="49"/>
      <c r="G228" s="49" t="s">
        <v>86</v>
      </c>
      <c r="H228" s="50">
        <v>1000</v>
      </c>
      <c r="I228" s="55">
        <v>600</v>
      </c>
      <c r="J228" s="49" t="s">
        <v>36</v>
      </c>
      <c r="K228" s="49" t="s">
        <v>37</v>
      </c>
    </row>
    <row r="229" spans="1:11" ht="15.75" customHeight="1">
      <c r="A229" s="49">
        <v>25</v>
      </c>
      <c r="B229" s="49" t="s">
        <v>836</v>
      </c>
      <c r="C229" s="49" t="s">
        <v>227</v>
      </c>
      <c r="D229" s="49" t="s">
        <v>288</v>
      </c>
      <c r="E229" s="49" t="s">
        <v>184</v>
      </c>
      <c r="F229" s="49"/>
      <c r="G229" s="49" t="s">
        <v>35</v>
      </c>
      <c r="H229" s="50">
        <v>4000</v>
      </c>
      <c r="I229" s="55">
        <v>600</v>
      </c>
      <c r="J229" s="49" t="s">
        <v>36</v>
      </c>
      <c r="K229" s="49" t="s">
        <v>37</v>
      </c>
    </row>
    <row r="230" spans="1:11" ht="15.75" customHeight="1">
      <c r="A230" s="49">
        <v>25</v>
      </c>
      <c r="B230" s="49" t="s">
        <v>837</v>
      </c>
      <c r="C230" s="49" t="s">
        <v>246</v>
      </c>
      <c r="D230" s="49" t="s">
        <v>682</v>
      </c>
      <c r="E230" s="49" t="s">
        <v>386</v>
      </c>
      <c r="F230" s="49"/>
      <c r="G230" s="49" t="s">
        <v>35</v>
      </c>
      <c r="H230" s="50">
        <v>300</v>
      </c>
      <c r="I230" s="55">
        <v>45</v>
      </c>
      <c r="J230" s="49" t="s">
        <v>36</v>
      </c>
      <c r="K230" s="49" t="s">
        <v>37</v>
      </c>
    </row>
    <row r="231" spans="1:11" ht="15.75" customHeight="1">
      <c r="A231" s="49">
        <v>25</v>
      </c>
      <c r="B231" s="49" t="s">
        <v>838</v>
      </c>
      <c r="C231" s="49" t="s">
        <v>227</v>
      </c>
      <c r="D231" s="49" t="s">
        <v>505</v>
      </c>
      <c r="E231" s="49" t="s">
        <v>235</v>
      </c>
      <c r="F231" s="49"/>
      <c r="G231" s="49" t="s">
        <v>242</v>
      </c>
      <c r="H231" s="50">
        <v>10</v>
      </c>
      <c r="I231" s="55">
        <v>30</v>
      </c>
      <c r="J231" s="49" t="s">
        <v>36</v>
      </c>
      <c r="K231" s="49" t="s">
        <v>37</v>
      </c>
    </row>
    <row r="232" spans="1:11" ht="15.75" customHeight="1">
      <c r="A232" s="49">
        <v>25</v>
      </c>
      <c r="B232" s="49" t="s">
        <v>839</v>
      </c>
      <c r="C232" s="49" t="s">
        <v>227</v>
      </c>
      <c r="D232" s="49" t="s">
        <v>840</v>
      </c>
      <c r="E232" s="49" t="s">
        <v>41</v>
      </c>
      <c r="F232" s="49"/>
      <c r="G232" s="49" t="s">
        <v>86</v>
      </c>
      <c r="H232" s="50">
        <v>200</v>
      </c>
      <c r="I232" s="55">
        <v>120</v>
      </c>
      <c r="J232" s="49" t="s">
        <v>36</v>
      </c>
      <c r="K232" s="49" t="s">
        <v>37</v>
      </c>
    </row>
    <row r="233" spans="1:11" ht="15.75" customHeight="1">
      <c r="A233" s="49">
        <v>26</v>
      </c>
      <c r="B233" s="49" t="s">
        <v>841</v>
      </c>
      <c r="C233" s="49" t="s">
        <v>227</v>
      </c>
      <c r="D233" s="49" t="s">
        <v>619</v>
      </c>
      <c r="E233" s="49" t="s">
        <v>193</v>
      </c>
      <c r="F233" s="49"/>
      <c r="G233" s="49" t="s">
        <v>35</v>
      </c>
      <c r="H233" s="50">
        <v>6000</v>
      </c>
      <c r="I233" s="55">
        <v>900</v>
      </c>
      <c r="J233" s="49" t="s">
        <v>36</v>
      </c>
      <c r="K233" s="49" t="s">
        <v>37</v>
      </c>
    </row>
    <row r="234" spans="1:11" ht="15.75" customHeight="1">
      <c r="A234" s="49">
        <v>26</v>
      </c>
      <c r="B234" s="49" t="s">
        <v>842</v>
      </c>
      <c r="C234" s="49" t="s">
        <v>227</v>
      </c>
      <c r="D234" s="49" t="s">
        <v>772</v>
      </c>
      <c r="E234" s="49" t="s">
        <v>232</v>
      </c>
      <c r="F234" s="49"/>
      <c r="G234" s="49" t="s">
        <v>35</v>
      </c>
      <c r="H234" s="50">
        <v>1000</v>
      </c>
      <c r="I234" s="55">
        <v>150</v>
      </c>
      <c r="J234" s="49" t="s">
        <v>36</v>
      </c>
      <c r="K234" s="49" t="s">
        <v>37</v>
      </c>
    </row>
    <row r="235" spans="1:11" ht="15.75" customHeight="1">
      <c r="A235" s="49">
        <v>26</v>
      </c>
      <c r="B235" s="49" t="s">
        <v>842</v>
      </c>
      <c r="C235" s="49" t="s">
        <v>227</v>
      </c>
      <c r="D235" s="49" t="s">
        <v>772</v>
      </c>
      <c r="E235" s="49" t="s">
        <v>232</v>
      </c>
      <c r="F235" s="49"/>
      <c r="G235" s="49" t="s">
        <v>86</v>
      </c>
      <c r="H235" s="50">
        <v>1200</v>
      </c>
      <c r="I235" s="55">
        <v>720</v>
      </c>
      <c r="J235" s="49" t="s">
        <v>36</v>
      </c>
      <c r="K235" s="49" t="s">
        <v>37</v>
      </c>
    </row>
    <row r="236" spans="1:11" ht="15.75" customHeight="1">
      <c r="A236" s="49">
        <v>26</v>
      </c>
      <c r="B236" s="49" t="s">
        <v>843</v>
      </c>
      <c r="C236" s="49" t="s">
        <v>227</v>
      </c>
      <c r="D236" s="49" t="s">
        <v>607</v>
      </c>
      <c r="E236" s="49" t="s">
        <v>235</v>
      </c>
      <c r="F236" s="49"/>
      <c r="G236" s="49" t="s">
        <v>35</v>
      </c>
      <c r="H236" s="50">
        <v>600</v>
      </c>
      <c r="I236" s="55">
        <v>90</v>
      </c>
      <c r="J236" s="49" t="s">
        <v>36</v>
      </c>
      <c r="K236" s="49" t="s">
        <v>37</v>
      </c>
    </row>
    <row r="237" spans="1:11" ht="15.75" customHeight="1"/>
    <row r="238" spans="1:11" ht="15.75" customHeight="1">
      <c r="I238" s="60" t="s">
        <v>53</v>
      </c>
      <c r="J238" s="60"/>
    </row>
    <row r="239" spans="1:11" ht="15.75" customHeight="1">
      <c r="B239" s="61" t="s">
        <v>55</v>
      </c>
      <c r="E239" s="61" t="s">
        <v>56</v>
      </c>
      <c r="I239" s="60" t="s">
        <v>844</v>
      </c>
      <c r="J239" s="60"/>
    </row>
    <row r="240" spans="1:11" ht="15.75" customHeight="1">
      <c r="I240" s="60" t="s">
        <v>845</v>
      </c>
      <c r="J240" s="60"/>
    </row>
    <row r="241" spans="2:10" ht="15.75" customHeight="1">
      <c r="I241" s="60" t="s">
        <v>846</v>
      </c>
      <c r="J241" s="60"/>
    </row>
    <row r="242" spans="2:10" ht="15.75" customHeight="1">
      <c r="B242" s="65" t="s">
        <v>60</v>
      </c>
      <c r="E242" s="65" t="s">
        <v>61</v>
      </c>
      <c r="F242" s="65"/>
      <c r="G242" s="62"/>
      <c r="I242" s="60" t="s">
        <v>847</v>
      </c>
      <c r="J242" s="60"/>
    </row>
    <row r="243" spans="2:10" ht="15.75" customHeight="1">
      <c r="B243" s="61" t="s">
        <v>63</v>
      </c>
      <c r="E243" s="61" t="s">
        <v>571</v>
      </c>
      <c r="I243" s="60" t="s">
        <v>848</v>
      </c>
      <c r="J243" s="60"/>
    </row>
    <row r="244" spans="2:10" ht="15.75" customHeight="1">
      <c r="I244" s="60" t="s">
        <v>849</v>
      </c>
      <c r="J244" s="60"/>
    </row>
    <row r="245" spans="2:10" ht="15.75" customHeight="1">
      <c r="I245" s="60" t="s">
        <v>66</v>
      </c>
      <c r="J245" s="60"/>
    </row>
    <row r="246" spans="2:10" ht="15.75" customHeight="1">
      <c r="I246" s="60" t="s">
        <v>850</v>
      </c>
      <c r="J246" s="63"/>
    </row>
    <row r="247" spans="2:10" ht="15.75" customHeight="1">
      <c r="I247" s="60" t="s">
        <v>851</v>
      </c>
      <c r="J247" s="63"/>
    </row>
    <row r="248" spans="2:10" ht="15.75" customHeight="1"/>
    <row r="249" spans="2:10" ht="15.75" customHeight="1"/>
    <row r="250" spans="2:10" ht="15.75" customHeight="1"/>
    <row r="251" spans="2:10" ht="15.75" customHeight="1"/>
    <row r="252" spans="2:10" ht="15.75" customHeight="1"/>
    <row r="253" spans="2:10" ht="15.75" customHeight="1"/>
    <row r="254" spans="2:10" ht="15.75" customHeight="1"/>
    <row r="255" spans="2:10" ht="15.75" customHeight="1"/>
    <row r="256" spans="2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" right="0.7" top="0.75" bottom="0.75" header="0" footer="0"/>
  <pageSetup paperSize="5" scale="9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852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853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854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855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856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1</v>
      </c>
      <c r="B12" s="49" t="s">
        <v>857</v>
      </c>
      <c r="C12" s="49" t="s">
        <v>246</v>
      </c>
      <c r="D12" s="49" t="s">
        <v>858</v>
      </c>
      <c r="E12" s="49" t="s">
        <v>193</v>
      </c>
      <c r="F12" s="49"/>
      <c r="G12" s="49" t="s">
        <v>35</v>
      </c>
      <c r="H12" s="50">
        <v>6000</v>
      </c>
      <c r="I12" s="55">
        <v>900</v>
      </c>
      <c r="J12" s="49" t="s">
        <v>36</v>
      </c>
      <c r="K12" s="49" t="s">
        <v>37</v>
      </c>
    </row>
    <row r="13" spans="1:11">
      <c r="A13" s="49">
        <v>1</v>
      </c>
      <c r="B13" s="49" t="s">
        <v>859</v>
      </c>
      <c r="C13" s="49" t="s">
        <v>227</v>
      </c>
      <c r="D13" s="49" t="s">
        <v>619</v>
      </c>
      <c r="E13" s="49" t="s">
        <v>193</v>
      </c>
      <c r="F13" s="49"/>
      <c r="G13" s="49" t="s">
        <v>35</v>
      </c>
      <c r="H13" s="50">
        <v>4000</v>
      </c>
      <c r="I13" s="55">
        <v>600</v>
      </c>
      <c r="J13" s="49" t="s">
        <v>36</v>
      </c>
      <c r="K13" s="49" t="s">
        <v>37</v>
      </c>
    </row>
    <row r="14" spans="1:11">
      <c r="A14" s="49">
        <v>1</v>
      </c>
      <c r="B14" s="49" t="s">
        <v>786</v>
      </c>
      <c r="C14" s="49" t="s">
        <v>227</v>
      </c>
      <c r="D14" s="49" t="s">
        <v>277</v>
      </c>
      <c r="E14" s="49" t="s">
        <v>232</v>
      </c>
      <c r="F14" s="49"/>
      <c r="G14" s="49" t="s">
        <v>35</v>
      </c>
      <c r="H14" s="50">
        <v>2000</v>
      </c>
      <c r="I14" s="55">
        <v>300</v>
      </c>
      <c r="J14" s="49" t="s">
        <v>36</v>
      </c>
      <c r="K14" s="49" t="s">
        <v>37</v>
      </c>
    </row>
    <row r="15" spans="1:11">
      <c r="A15" s="49">
        <v>1</v>
      </c>
      <c r="B15" s="49" t="s">
        <v>860</v>
      </c>
      <c r="C15" s="49" t="s">
        <v>227</v>
      </c>
      <c r="D15" s="49" t="s">
        <v>738</v>
      </c>
      <c r="E15" s="49" t="s">
        <v>251</v>
      </c>
      <c r="F15" s="49"/>
      <c r="G15" s="49" t="s">
        <v>35</v>
      </c>
      <c r="H15" s="50">
        <v>100</v>
      </c>
      <c r="I15" s="55">
        <v>15</v>
      </c>
      <c r="J15" s="49" t="s">
        <v>36</v>
      </c>
      <c r="K15" s="49" t="s">
        <v>37</v>
      </c>
    </row>
    <row r="16" spans="1:11">
      <c r="A16" s="49">
        <v>1</v>
      </c>
      <c r="B16" s="49" t="s">
        <v>860</v>
      </c>
      <c r="C16" s="49" t="s">
        <v>227</v>
      </c>
      <c r="D16" s="49" t="s">
        <v>738</v>
      </c>
      <c r="E16" s="49" t="s">
        <v>251</v>
      </c>
      <c r="F16" s="49"/>
      <c r="G16" s="49" t="s">
        <v>86</v>
      </c>
      <c r="H16" s="50">
        <v>200</v>
      </c>
      <c r="I16" s="55">
        <v>120</v>
      </c>
      <c r="J16" s="49" t="s">
        <v>36</v>
      </c>
      <c r="K16" s="49" t="s">
        <v>37</v>
      </c>
    </row>
    <row r="17" spans="1:11">
      <c r="A17" s="49">
        <v>2</v>
      </c>
      <c r="B17" s="49" t="s">
        <v>861</v>
      </c>
      <c r="C17" s="49" t="s">
        <v>227</v>
      </c>
      <c r="D17" s="49" t="s">
        <v>405</v>
      </c>
      <c r="E17" s="49" t="s">
        <v>241</v>
      </c>
      <c r="F17" s="49"/>
      <c r="G17" s="49" t="s">
        <v>35</v>
      </c>
      <c r="H17" s="50">
        <v>500</v>
      </c>
      <c r="I17" s="55"/>
      <c r="J17" s="49" t="s">
        <v>43</v>
      </c>
      <c r="K17" s="49" t="s">
        <v>37</v>
      </c>
    </row>
    <row r="18" spans="1:11">
      <c r="A18" s="49">
        <v>2</v>
      </c>
      <c r="B18" s="49" t="s">
        <v>862</v>
      </c>
      <c r="C18" s="49" t="s">
        <v>227</v>
      </c>
      <c r="D18" s="49" t="s">
        <v>662</v>
      </c>
      <c r="E18" s="49" t="s">
        <v>241</v>
      </c>
      <c r="F18" s="49"/>
      <c r="G18" s="49" t="s">
        <v>35</v>
      </c>
      <c r="H18" s="50">
        <v>200</v>
      </c>
      <c r="I18" s="55">
        <v>30</v>
      </c>
      <c r="J18" s="49" t="s">
        <v>36</v>
      </c>
      <c r="K18" s="49" t="s">
        <v>37</v>
      </c>
    </row>
    <row r="19" spans="1:11">
      <c r="A19" s="49">
        <v>2</v>
      </c>
      <c r="B19" s="49" t="s">
        <v>863</v>
      </c>
      <c r="C19" s="49" t="s">
        <v>227</v>
      </c>
      <c r="D19" s="49" t="s">
        <v>864</v>
      </c>
      <c r="E19" s="49" t="s">
        <v>51</v>
      </c>
      <c r="F19" s="49"/>
      <c r="G19" s="49" t="s">
        <v>35</v>
      </c>
      <c r="H19" s="50">
        <v>1000</v>
      </c>
      <c r="I19" s="55">
        <v>150</v>
      </c>
      <c r="J19" s="49" t="s">
        <v>36</v>
      </c>
      <c r="K19" s="49" t="s">
        <v>37</v>
      </c>
    </row>
    <row r="20" spans="1:11">
      <c r="A20" s="49">
        <v>2</v>
      </c>
      <c r="B20" s="49" t="s">
        <v>865</v>
      </c>
      <c r="C20" s="49" t="s">
        <v>227</v>
      </c>
      <c r="D20" s="49" t="s">
        <v>662</v>
      </c>
      <c r="E20" s="49" t="s">
        <v>241</v>
      </c>
      <c r="F20" s="49"/>
      <c r="G20" s="49" t="s">
        <v>35</v>
      </c>
      <c r="H20" s="50">
        <v>200</v>
      </c>
      <c r="I20" s="55">
        <v>30</v>
      </c>
      <c r="J20" s="49" t="s">
        <v>36</v>
      </c>
      <c r="K20" s="49" t="s">
        <v>37</v>
      </c>
    </row>
    <row r="21" spans="1:11" ht="15.75" customHeight="1">
      <c r="A21" s="49">
        <v>2</v>
      </c>
      <c r="B21" s="49" t="s">
        <v>865</v>
      </c>
      <c r="C21" s="49" t="s">
        <v>227</v>
      </c>
      <c r="D21" s="49" t="s">
        <v>662</v>
      </c>
      <c r="E21" s="49" t="s">
        <v>241</v>
      </c>
      <c r="F21" s="49"/>
      <c r="G21" s="49" t="s">
        <v>86</v>
      </c>
      <c r="H21" s="50">
        <v>50</v>
      </c>
      <c r="I21" s="55">
        <v>30</v>
      </c>
      <c r="J21" s="49" t="s">
        <v>36</v>
      </c>
      <c r="K21" s="49" t="s">
        <v>37</v>
      </c>
    </row>
    <row r="22" spans="1:11" ht="15.75" customHeight="1">
      <c r="A22" s="49">
        <v>2</v>
      </c>
      <c r="B22" s="49" t="s">
        <v>866</v>
      </c>
      <c r="C22" s="49" t="s">
        <v>227</v>
      </c>
      <c r="D22" s="49" t="s">
        <v>751</v>
      </c>
      <c r="E22" s="49" t="s">
        <v>193</v>
      </c>
      <c r="F22" s="49"/>
      <c r="G22" s="49" t="s">
        <v>86</v>
      </c>
      <c r="H22" s="50">
        <v>50</v>
      </c>
      <c r="I22" s="55">
        <v>30</v>
      </c>
      <c r="J22" s="49" t="s">
        <v>36</v>
      </c>
      <c r="K22" s="49" t="s">
        <v>37</v>
      </c>
    </row>
    <row r="23" spans="1:11" ht="15.75" customHeight="1">
      <c r="A23" s="49">
        <v>3</v>
      </c>
      <c r="B23" s="49" t="s">
        <v>867</v>
      </c>
      <c r="C23" s="49" t="s">
        <v>227</v>
      </c>
      <c r="D23" s="49" t="s">
        <v>32</v>
      </c>
      <c r="E23" s="49" t="s">
        <v>462</v>
      </c>
      <c r="F23" s="49"/>
      <c r="G23" s="49" t="s">
        <v>35</v>
      </c>
      <c r="H23" s="50">
        <v>6000</v>
      </c>
      <c r="I23" s="55">
        <v>900</v>
      </c>
      <c r="J23" s="49" t="s">
        <v>36</v>
      </c>
      <c r="K23" s="49" t="s">
        <v>37</v>
      </c>
    </row>
    <row r="24" spans="1:11" ht="15.75" customHeight="1">
      <c r="A24" s="49">
        <v>3</v>
      </c>
      <c r="B24" s="49" t="s">
        <v>868</v>
      </c>
      <c r="C24" s="49" t="s">
        <v>227</v>
      </c>
      <c r="D24" s="49" t="s">
        <v>780</v>
      </c>
      <c r="E24" s="49" t="s">
        <v>80</v>
      </c>
      <c r="F24" s="49"/>
      <c r="G24" s="49" t="s">
        <v>35</v>
      </c>
      <c r="H24" s="50">
        <v>3000</v>
      </c>
      <c r="I24" s="55">
        <v>450</v>
      </c>
      <c r="J24" s="49" t="s">
        <v>36</v>
      </c>
      <c r="K24" s="49" t="s">
        <v>37</v>
      </c>
    </row>
    <row r="25" spans="1:11" ht="15.75" customHeight="1">
      <c r="A25" s="49">
        <v>3</v>
      </c>
      <c r="B25" s="49" t="s">
        <v>869</v>
      </c>
      <c r="C25" s="49" t="s">
        <v>227</v>
      </c>
      <c r="D25" s="49" t="s">
        <v>819</v>
      </c>
      <c r="E25" s="49" t="s">
        <v>235</v>
      </c>
      <c r="F25" s="49"/>
      <c r="G25" s="49" t="s">
        <v>35</v>
      </c>
      <c r="H25" s="50">
        <v>1400</v>
      </c>
      <c r="I25" s="55">
        <v>210</v>
      </c>
      <c r="J25" s="49" t="s">
        <v>36</v>
      </c>
      <c r="K25" s="49" t="s">
        <v>37</v>
      </c>
    </row>
    <row r="26" spans="1:11" ht="15.75" customHeight="1">
      <c r="A26" s="49">
        <v>3</v>
      </c>
      <c r="B26" s="49" t="s">
        <v>835</v>
      </c>
      <c r="C26" s="49" t="s">
        <v>227</v>
      </c>
      <c r="D26" s="49" t="s">
        <v>772</v>
      </c>
      <c r="E26" s="49" t="s">
        <v>232</v>
      </c>
      <c r="F26" s="49"/>
      <c r="G26" s="49" t="s">
        <v>35</v>
      </c>
      <c r="H26" s="50">
        <v>500</v>
      </c>
      <c r="I26" s="55">
        <v>75</v>
      </c>
      <c r="J26" s="49" t="s">
        <v>36</v>
      </c>
      <c r="K26" s="49" t="s">
        <v>37</v>
      </c>
    </row>
    <row r="27" spans="1:11" ht="15.75" customHeight="1">
      <c r="A27" s="49">
        <v>3</v>
      </c>
      <c r="B27" s="49" t="s">
        <v>870</v>
      </c>
      <c r="C27" s="49" t="s">
        <v>246</v>
      </c>
      <c r="D27" s="49" t="s">
        <v>32</v>
      </c>
      <c r="E27" s="49" t="s">
        <v>48</v>
      </c>
      <c r="F27" s="49"/>
      <c r="G27" s="49" t="s">
        <v>242</v>
      </c>
      <c r="H27" s="50">
        <v>10</v>
      </c>
      <c r="I27" s="55">
        <v>30</v>
      </c>
      <c r="J27" s="49" t="s">
        <v>36</v>
      </c>
      <c r="K27" s="49" t="s">
        <v>37</v>
      </c>
    </row>
    <row r="28" spans="1:11" ht="15.75" customHeight="1">
      <c r="A28" s="49">
        <v>3</v>
      </c>
      <c r="B28" s="49" t="s">
        <v>381</v>
      </c>
      <c r="C28" s="49" t="s">
        <v>227</v>
      </c>
      <c r="D28" s="49" t="s">
        <v>234</v>
      </c>
      <c r="E28" s="49" t="s">
        <v>235</v>
      </c>
      <c r="F28" s="49"/>
      <c r="G28" s="49" t="s">
        <v>35</v>
      </c>
      <c r="H28" s="50">
        <v>3000</v>
      </c>
      <c r="I28" s="55">
        <v>450</v>
      </c>
      <c r="J28" s="49" t="s">
        <v>36</v>
      </c>
      <c r="K28" s="49" t="s">
        <v>37</v>
      </c>
    </row>
    <row r="29" spans="1:11" ht="15.75" customHeight="1">
      <c r="A29" s="49">
        <v>3</v>
      </c>
      <c r="B29" s="49" t="s">
        <v>381</v>
      </c>
      <c r="C29" s="49" t="s">
        <v>227</v>
      </c>
      <c r="D29" s="49" t="s">
        <v>234</v>
      </c>
      <c r="E29" s="49" t="s">
        <v>235</v>
      </c>
      <c r="F29" s="49"/>
      <c r="G29" s="49" t="s">
        <v>86</v>
      </c>
      <c r="H29" s="50">
        <v>300</v>
      </c>
      <c r="I29" s="55">
        <v>180</v>
      </c>
      <c r="J29" s="49" t="s">
        <v>36</v>
      </c>
      <c r="K29" s="49" t="s">
        <v>37</v>
      </c>
    </row>
    <row r="30" spans="1:11" ht="15.75" customHeight="1">
      <c r="A30" s="49">
        <v>3</v>
      </c>
      <c r="B30" s="49" t="s">
        <v>871</v>
      </c>
      <c r="C30" s="49" t="s">
        <v>227</v>
      </c>
      <c r="D30" s="49" t="s">
        <v>32</v>
      </c>
      <c r="E30" s="49" t="s">
        <v>235</v>
      </c>
      <c r="F30" s="49"/>
      <c r="G30" s="49" t="s">
        <v>35</v>
      </c>
      <c r="H30" s="50">
        <v>800</v>
      </c>
      <c r="I30" s="55">
        <v>120</v>
      </c>
      <c r="J30" s="49" t="s">
        <v>36</v>
      </c>
      <c r="K30" s="49" t="s">
        <v>37</v>
      </c>
    </row>
    <row r="31" spans="1:11" ht="15.75" customHeight="1">
      <c r="A31" s="49">
        <v>4</v>
      </c>
      <c r="B31" s="49" t="s">
        <v>872</v>
      </c>
      <c r="C31" s="49" t="s">
        <v>227</v>
      </c>
      <c r="D31" s="49" t="s">
        <v>873</v>
      </c>
      <c r="E31" s="49" t="s">
        <v>251</v>
      </c>
      <c r="F31" s="49"/>
      <c r="G31" s="49" t="s">
        <v>35</v>
      </c>
      <c r="H31" s="50">
        <v>100</v>
      </c>
      <c r="I31" s="55">
        <v>25</v>
      </c>
      <c r="J31" s="49" t="s">
        <v>36</v>
      </c>
      <c r="K31" s="49" t="s">
        <v>37</v>
      </c>
    </row>
    <row r="32" spans="1:11" ht="15.75" customHeight="1">
      <c r="A32" s="49">
        <v>4</v>
      </c>
      <c r="B32" s="49" t="s">
        <v>874</v>
      </c>
      <c r="C32" s="49" t="s">
        <v>227</v>
      </c>
      <c r="D32" s="49" t="s">
        <v>619</v>
      </c>
      <c r="E32" s="49" t="s">
        <v>193</v>
      </c>
      <c r="F32" s="49"/>
      <c r="G32" s="49" t="s">
        <v>35</v>
      </c>
      <c r="H32" s="50">
        <v>4500</v>
      </c>
      <c r="I32" s="55">
        <v>675</v>
      </c>
      <c r="J32" s="49" t="s">
        <v>36</v>
      </c>
      <c r="K32" s="49" t="s">
        <v>37</v>
      </c>
    </row>
    <row r="33" spans="1:11" ht="15.75" customHeight="1">
      <c r="A33" s="49">
        <v>4</v>
      </c>
      <c r="B33" s="49" t="s">
        <v>875</v>
      </c>
      <c r="C33" s="49" t="s">
        <v>227</v>
      </c>
      <c r="D33" s="49" t="s">
        <v>32</v>
      </c>
      <c r="E33" s="49" t="s">
        <v>51</v>
      </c>
      <c r="F33" s="49"/>
      <c r="G33" s="49" t="s">
        <v>35</v>
      </c>
      <c r="H33" s="50">
        <v>100</v>
      </c>
      <c r="I33" s="55">
        <v>15</v>
      </c>
      <c r="J33" s="49" t="s">
        <v>36</v>
      </c>
      <c r="K33" s="49" t="s">
        <v>37</v>
      </c>
    </row>
    <row r="34" spans="1:11" ht="15.75" customHeight="1">
      <c r="A34" s="49">
        <v>4</v>
      </c>
      <c r="B34" s="49" t="s">
        <v>876</v>
      </c>
      <c r="C34" s="49" t="s">
        <v>227</v>
      </c>
      <c r="D34" s="49" t="s">
        <v>527</v>
      </c>
      <c r="E34" s="49" t="s">
        <v>251</v>
      </c>
      <c r="F34" s="49"/>
      <c r="G34" s="49" t="s">
        <v>35</v>
      </c>
      <c r="H34" s="50">
        <v>1500</v>
      </c>
      <c r="I34" s="55">
        <v>225</v>
      </c>
      <c r="J34" s="49" t="s">
        <v>36</v>
      </c>
      <c r="K34" s="49" t="s">
        <v>37</v>
      </c>
    </row>
    <row r="35" spans="1:11" ht="15.75" customHeight="1">
      <c r="A35" s="49">
        <v>4</v>
      </c>
      <c r="B35" s="49" t="s">
        <v>876</v>
      </c>
      <c r="C35" s="49" t="s">
        <v>227</v>
      </c>
      <c r="D35" s="49" t="s">
        <v>527</v>
      </c>
      <c r="E35" s="49" t="s">
        <v>251</v>
      </c>
      <c r="F35" s="49"/>
      <c r="G35" s="49" t="s">
        <v>35</v>
      </c>
      <c r="H35" s="50">
        <v>500</v>
      </c>
      <c r="I35" s="55"/>
      <c r="J35" s="49" t="s">
        <v>43</v>
      </c>
      <c r="K35" s="49" t="s">
        <v>37</v>
      </c>
    </row>
    <row r="36" spans="1:11" ht="15.75" customHeight="1">
      <c r="A36" s="49">
        <v>4</v>
      </c>
      <c r="B36" s="49" t="s">
        <v>877</v>
      </c>
      <c r="C36" s="49" t="s">
        <v>227</v>
      </c>
      <c r="D36" s="49" t="s">
        <v>548</v>
      </c>
      <c r="E36" s="49" t="s">
        <v>48</v>
      </c>
      <c r="F36" s="49"/>
      <c r="G36" s="49" t="s">
        <v>86</v>
      </c>
      <c r="H36" s="50">
        <v>100</v>
      </c>
      <c r="I36" s="55">
        <v>60</v>
      </c>
      <c r="J36" s="49" t="s">
        <v>36</v>
      </c>
      <c r="K36" s="49" t="s">
        <v>536</v>
      </c>
    </row>
    <row r="37" spans="1:11" ht="15.75" customHeight="1">
      <c r="A37" s="49">
        <v>4</v>
      </c>
      <c r="B37" s="49" t="s">
        <v>878</v>
      </c>
      <c r="C37" s="49" t="s">
        <v>227</v>
      </c>
      <c r="D37" s="49" t="s">
        <v>879</v>
      </c>
      <c r="E37" s="49" t="s">
        <v>51</v>
      </c>
      <c r="F37" s="49"/>
      <c r="G37" s="49" t="s">
        <v>35</v>
      </c>
      <c r="H37" s="50">
        <v>300</v>
      </c>
      <c r="I37" s="55">
        <v>45</v>
      </c>
      <c r="J37" s="49" t="s">
        <v>36</v>
      </c>
      <c r="K37" s="49" t="s">
        <v>37</v>
      </c>
    </row>
    <row r="38" spans="1:11" ht="15.75" customHeight="1">
      <c r="A38" s="49">
        <v>5</v>
      </c>
      <c r="B38" s="49" t="s">
        <v>880</v>
      </c>
      <c r="C38" s="49" t="s">
        <v>246</v>
      </c>
      <c r="D38" s="49" t="s">
        <v>548</v>
      </c>
      <c r="E38" s="49" t="s">
        <v>232</v>
      </c>
      <c r="F38" s="49"/>
      <c r="G38" s="49" t="s">
        <v>35</v>
      </c>
      <c r="H38" s="50">
        <v>1500</v>
      </c>
      <c r="I38" s="55">
        <v>225</v>
      </c>
      <c r="J38" s="49" t="s">
        <v>36</v>
      </c>
      <c r="K38" s="49" t="s">
        <v>37</v>
      </c>
    </row>
    <row r="39" spans="1:11" ht="15.75" customHeight="1">
      <c r="A39" s="49">
        <v>5</v>
      </c>
      <c r="B39" s="49" t="s">
        <v>880</v>
      </c>
      <c r="C39" s="49" t="s">
        <v>246</v>
      </c>
      <c r="D39" s="49" t="s">
        <v>548</v>
      </c>
      <c r="E39" s="49" t="s">
        <v>232</v>
      </c>
      <c r="F39" s="49"/>
      <c r="G39" s="49" t="s">
        <v>35</v>
      </c>
      <c r="H39" s="50">
        <v>500</v>
      </c>
      <c r="I39" s="55"/>
      <c r="J39" s="49" t="s">
        <v>43</v>
      </c>
      <c r="K39" s="49" t="s">
        <v>37</v>
      </c>
    </row>
    <row r="40" spans="1:11" ht="15.75" customHeight="1">
      <c r="A40" s="49">
        <v>5</v>
      </c>
      <c r="B40" s="49" t="s">
        <v>881</v>
      </c>
      <c r="C40" s="49" t="s">
        <v>246</v>
      </c>
      <c r="D40" s="49" t="s">
        <v>882</v>
      </c>
      <c r="E40" s="49" t="s">
        <v>41</v>
      </c>
      <c r="F40" s="49"/>
      <c r="G40" s="49" t="s">
        <v>35</v>
      </c>
      <c r="H40" s="50">
        <v>10000</v>
      </c>
      <c r="I40" s="55">
        <v>1500</v>
      </c>
      <c r="J40" s="49" t="s">
        <v>36</v>
      </c>
      <c r="K40" s="49" t="s">
        <v>37</v>
      </c>
    </row>
    <row r="41" spans="1:11" ht="15.75" customHeight="1">
      <c r="A41" s="49">
        <v>5</v>
      </c>
      <c r="B41" s="49" t="s">
        <v>883</v>
      </c>
      <c r="C41" s="49" t="s">
        <v>227</v>
      </c>
      <c r="D41" s="49" t="s">
        <v>32</v>
      </c>
      <c r="E41" s="49" t="s">
        <v>307</v>
      </c>
      <c r="F41" s="49"/>
      <c r="G41" s="49" t="s">
        <v>35</v>
      </c>
      <c r="H41" s="50">
        <v>2000</v>
      </c>
      <c r="I41" s="55">
        <v>300</v>
      </c>
      <c r="J41" s="49" t="s">
        <v>36</v>
      </c>
      <c r="K41" s="49" t="s">
        <v>37</v>
      </c>
    </row>
    <row r="42" spans="1:11" ht="15.75" customHeight="1">
      <c r="A42" s="49">
        <v>5</v>
      </c>
      <c r="B42" s="49" t="s">
        <v>884</v>
      </c>
      <c r="C42" s="49" t="s">
        <v>227</v>
      </c>
      <c r="D42" s="49" t="s">
        <v>885</v>
      </c>
      <c r="E42" s="49" t="s">
        <v>386</v>
      </c>
      <c r="F42" s="49"/>
      <c r="G42" s="49" t="s">
        <v>35</v>
      </c>
      <c r="H42" s="50">
        <v>1500</v>
      </c>
      <c r="I42" s="55">
        <v>225</v>
      </c>
      <c r="J42" s="49" t="s">
        <v>36</v>
      </c>
      <c r="K42" s="49" t="s">
        <v>37</v>
      </c>
    </row>
    <row r="43" spans="1:11" ht="15.75" customHeight="1">
      <c r="A43" s="49">
        <v>5</v>
      </c>
      <c r="B43" s="49" t="s">
        <v>886</v>
      </c>
      <c r="C43" s="49" t="s">
        <v>227</v>
      </c>
      <c r="D43" s="49" t="s">
        <v>326</v>
      </c>
      <c r="E43" s="49" t="s">
        <v>199</v>
      </c>
      <c r="F43" s="49"/>
      <c r="G43" s="49" t="s">
        <v>35</v>
      </c>
      <c r="H43" s="50">
        <v>30000</v>
      </c>
      <c r="I43" s="55">
        <v>4500</v>
      </c>
      <c r="J43" s="49" t="s">
        <v>36</v>
      </c>
      <c r="K43" s="49" t="s">
        <v>37</v>
      </c>
    </row>
    <row r="44" spans="1:11" ht="15.75" customHeight="1">
      <c r="A44" s="49">
        <v>5</v>
      </c>
      <c r="B44" s="49" t="s">
        <v>381</v>
      </c>
      <c r="C44" s="49" t="s">
        <v>227</v>
      </c>
      <c r="D44" s="49" t="s">
        <v>234</v>
      </c>
      <c r="E44" s="49" t="s">
        <v>235</v>
      </c>
      <c r="F44" s="49"/>
      <c r="G44" s="49" t="s">
        <v>35</v>
      </c>
      <c r="H44" s="50">
        <v>3000</v>
      </c>
      <c r="I44" s="55">
        <v>450</v>
      </c>
      <c r="J44" s="49" t="s">
        <v>36</v>
      </c>
      <c r="K44" s="49" t="s">
        <v>37</v>
      </c>
    </row>
    <row r="45" spans="1:11" ht="15.75" customHeight="1">
      <c r="A45" s="49">
        <v>5</v>
      </c>
      <c r="B45" s="49" t="s">
        <v>381</v>
      </c>
      <c r="C45" s="49" t="s">
        <v>227</v>
      </c>
      <c r="D45" s="49" t="s">
        <v>234</v>
      </c>
      <c r="E45" s="49" t="s">
        <v>235</v>
      </c>
      <c r="F45" s="49"/>
      <c r="G45" s="49" t="s">
        <v>86</v>
      </c>
      <c r="H45" s="50">
        <v>100</v>
      </c>
      <c r="I45" s="55">
        <v>60</v>
      </c>
      <c r="J45" s="49" t="s">
        <v>36</v>
      </c>
      <c r="K45" s="49" t="s">
        <v>37</v>
      </c>
    </row>
    <row r="46" spans="1:11" ht="15.75" customHeight="1">
      <c r="A46" s="49">
        <v>5</v>
      </c>
      <c r="B46" s="49" t="s">
        <v>887</v>
      </c>
      <c r="C46" s="49" t="s">
        <v>227</v>
      </c>
      <c r="D46" s="49" t="s">
        <v>396</v>
      </c>
      <c r="E46" s="49" t="s">
        <v>251</v>
      </c>
      <c r="F46" s="49"/>
      <c r="G46" s="49" t="s">
        <v>35</v>
      </c>
      <c r="H46" s="50">
        <v>1000</v>
      </c>
      <c r="I46" s="55">
        <v>150</v>
      </c>
      <c r="J46" s="49" t="s">
        <v>36</v>
      </c>
      <c r="K46" s="49" t="s">
        <v>37</v>
      </c>
    </row>
    <row r="47" spans="1:11" ht="15.75" customHeight="1">
      <c r="A47" s="49">
        <v>5</v>
      </c>
      <c r="B47" s="49" t="s">
        <v>888</v>
      </c>
      <c r="C47" s="49" t="s">
        <v>227</v>
      </c>
      <c r="D47" s="49" t="s">
        <v>743</v>
      </c>
      <c r="E47" s="49" t="s">
        <v>48</v>
      </c>
      <c r="F47" s="49"/>
      <c r="G47" s="49" t="s">
        <v>35</v>
      </c>
      <c r="H47" s="50">
        <v>1000</v>
      </c>
      <c r="I47" s="55">
        <v>150</v>
      </c>
      <c r="J47" s="49" t="s">
        <v>36</v>
      </c>
      <c r="K47" s="49" t="s">
        <v>37</v>
      </c>
    </row>
    <row r="48" spans="1:11" ht="15.75" customHeight="1">
      <c r="A48" s="49">
        <v>5</v>
      </c>
      <c r="B48" s="49" t="s">
        <v>888</v>
      </c>
      <c r="C48" s="49" t="s">
        <v>227</v>
      </c>
      <c r="D48" s="49" t="s">
        <v>743</v>
      </c>
      <c r="E48" s="49" t="s">
        <v>48</v>
      </c>
      <c r="F48" s="49"/>
      <c r="G48" s="49" t="s">
        <v>86</v>
      </c>
      <c r="H48" s="50">
        <v>50</v>
      </c>
      <c r="I48" s="55">
        <v>30</v>
      </c>
      <c r="J48" s="49" t="s">
        <v>36</v>
      </c>
      <c r="K48" s="49" t="s">
        <v>37</v>
      </c>
    </row>
    <row r="49" spans="1:11" ht="15.75" customHeight="1">
      <c r="A49" s="49">
        <v>5</v>
      </c>
      <c r="B49" s="49" t="s">
        <v>889</v>
      </c>
      <c r="C49" s="49" t="s">
        <v>246</v>
      </c>
      <c r="D49" s="49" t="s">
        <v>466</v>
      </c>
      <c r="E49" s="49" t="s">
        <v>467</v>
      </c>
      <c r="F49" s="49"/>
      <c r="G49" s="49" t="s">
        <v>242</v>
      </c>
      <c r="H49" s="50">
        <v>115</v>
      </c>
      <c r="I49" s="55">
        <v>345</v>
      </c>
      <c r="J49" s="49" t="s">
        <v>36</v>
      </c>
      <c r="K49" s="49" t="s">
        <v>37</v>
      </c>
    </row>
    <row r="50" spans="1:11" ht="15.75" customHeight="1">
      <c r="A50" s="49">
        <v>5</v>
      </c>
      <c r="B50" s="49" t="s">
        <v>890</v>
      </c>
      <c r="C50" s="49" t="s">
        <v>246</v>
      </c>
      <c r="D50" s="49" t="s">
        <v>891</v>
      </c>
      <c r="E50" s="49" t="s">
        <v>156</v>
      </c>
      <c r="F50" s="49"/>
      <c r="G50" s="49" t="s">
        <v>35</v>
      </c>
      <c r="H50" s="50">
        <v>100</v>
      </c>
      <c r="I50" s="55">
        <v>15</v>
      </c>
      <c r="J50" s="49" t="s">
        <v>36</v>
      </c>
      <c r="K50" s="49" t="s">
        <v>37</v>
      </c>
    </row>
    <row r="51" spans="1:11" ht="15.75" customHeight="1">
      <c r="A51" s="49">
        <v>5</v>
      </c>
      <c r="B51" s="49" t="s">
        <v>890</v>
      </c>
      <c r="C51" s="49" t="s">
        <v>246</v>
      </c>
      <c r="D51" s="49" t="s">
        <v>891</v>
      </c>
      <c r="E51" s="49" t="s">
        <v>156</v>
      </c>
      <c r="F51" s="49"/>
      <c r="G51" s="49" t="s">
        <v>120</v>
      </c>
      <c r="H51" s="50">
        <v>25</v>
      </c>
      <c r="I51" s="55">
        <v>125</v>
      </c>
      <c r="J51" s="49" t="s">
        <v>36</v>
      </c>
      <c r="K51" s="49" t="s">
        <v>37</v>
      </c>
    </row>
    <row r="52" spans="1:11" ht="15.75" customHeight="1">
      <c r="A52" s="49">
        <v>6</v>
      </c>
      <c r="B52" s="49" t="s">
        <v>892</v>
      </c>
      <c r="C52" s="49" t="s">
        <v>227</v>
      </c>
      <c r="D52" s="49" t="s">
        <v>893</v>
      </c>
      <c r="E52" s="49" t="s">
        <v>152</v>
      </c>
      <c r="F52" s="49"/>
      <c r="G52" s="49" t="s">
        <v>35</v>
      </c>
      <c r="H52" s="50">
        <v>600</v>
      </c>
      <c r="I52" s="55">
        <v>150</v>
      </c>
      <c r="J52" s="49" t="s">
        <v>36</v>
      </c>
      <c r="K52" s="49" t="s">
        <v>37</v>
      </c>
    </row>
    <row r="53" spans="1:11" ht="15.75" customHeight="1">
      <c r="A53" s="49">
        <v>6</v>
      </c>
      <c r="B53" s="49" t="s">
        <v>726</v>
      </c>
      <c r="C53" s="49" t="s">
        <v>227</v>
      </c>
      <c r="D53" s="49" t="s">
        <v>295</v>
      </c>
      <c r="E53" s="49" t="s">
        <v>248</v>
      </c>
      <c r="F53" s="49"/>
      <c r="G53" s="49" t="s">
        <v>35</v>
      </c>
      <c r="H53" s="50">
        <v>1200</v>
      </c>
      <c r="I53" s="55">
        <v>180</v>
      </c>
      <c r="J53" s="49" t="s">
        <v>36</v>
      </c>
      <c r="K53" s="49" t="s">
        <v>37</v>
      </c>
    </row>
    <row r="54" spans="1:11" ht="15.75" customHeight="1">
      <c r="A54" s="49">
        <v>6</v>
      </c>
      <c r="B54" s="49" t="s">
        <v>894</v>
      </c>
      <c r="C54" s="49" t="s">
        <v>246</v>
      </c>
      <c r="D54" s="49" t="s">
        <v>33</v>
      </c>
      <c r="E54" s="49" t="s">
        <v>41</v>
      </c>
      <c r="F54" s="49"/>
      <c r="G54" s="49" t="s">
        <v>35</v>
      </c>
      <c r="H54" s="50">
        <v>1000</v>
      </c>
      <c r="I54" s="55">
        <v>150</v>
      </c>
      <c r="J54" s="49" t="s">
        <v>36</v>
      </c>
      <c r="K54" s="49" t="s">
        <v>37</v>
      </c>
    </row>
    <row r="55" spans="1:11" ht="15.75" customHeight="1">
      <c r="A55" s="49">
        <v>6</v>
      </c>
      <c r="B55" s="49" t="s">
        <v>895</v>
      </c>
      <c r="C55" s="49" t="s">
        <v>227</v>
      </c>
      <c r="D55" s="49" t="s">
        <v>896</v>
      </c>
      <c r="E55" s="49" t="s">
        <v>41</v>
      </c>
      <c r="F55" s="49"/>
      <c r="G55" s="49" t="s">
        <v>35</v>
      </c>
      <c r="H55" s="50">
        <v>500</v>
      </c>
      <c r="I55" s="55"/>
      <c r="J55" s="49" t="s">
        <v>43</v>
      </c>
      <c r="K55" s="49" t="s">
        <v>37</v>
      </c>
    </row>
    <row r="56" spans="1:11" ht="15.75" customHeight="1">
      <c r="A56" s="49">
        <v>6</v>
      </c>
      <c r="B56" s="49" t="s">
        <v>897</v>
      </c>
      <c r="C56" s="49" t="s">
        <v>227</v>
      </c>
      <c r="D56" s="49" t="s">
        <v>898</v>
      </c>
      <c r="E56" s="49" t="s">
        <v>41</v>
      </c>
      <c r="F56" s="49"/>
      <c r="G56" s="49" t="s">
        <v>35</v>
      </c>
      <c r="H56" s="50">
        <v>500</v>
      </c>
      <c r="I56" s="55"/>
      <c r="J56" s="49" t="s">
        <v>43</v>
      </c>
      <c r="K56" s="49" t="s">
        <v>37</v>
      </c>
    </row>
    <row r="57" spans="1:11" ht="15.75" customHeight="1">
      <c r="A57" s="49">
        <v>6</v>
      </c>
      <c r="B57" s="49" t="s">
        <v>899</v>
      </c>
      <c r="C57" s="49" t="s">
        <v>227</v>
      </c>
      <c r="D57" s="49" t="s">
        <v>900</v>
      </c>
      <c r="E57" s="49" t="s">
        <v>156</v>
      </c>
      <c r="F57" s="49"/>
      <c r="G57" s="49" t="s">
        <v>35</v>
      </c>
      <c r="H57" s="50">
        <v>1000</v>
      </c>
      <c r="I57" s="55">
        <v>150</v>
      </c>
      <c r="J57" s="49" t="s">
        <v>36</v>
      </c>
      <c r="K57" s="49" t="s">
        <v>37</v>
      </c>
    </row>
    <row r="58" spans="1:11" ht="15.75" customHeight="1">
      <c r="A58" s="49">
        <v>6</v>
      </c>
      <c r="B58" s="49" t="s">
        <v>899</v>
      </c>
      <c r="C58" s="49" t="s">
        <v>227</v>
      </c>
      <c r="D58" s="49" t="s">
        <v>900</v>
      </c>
      <c r="E58" s="49" t="s">
        <v>156</v>
      </c>
      <c r="F58" s="49"/>
      <c r="G58" s="49" t="s">
        <v>86</v>
      </c>
      <c r="H58" s="50">
        <v>300</v>
      </c>
      <c r="I58" s="55">
        <v>180</v>
      </c>
      <c r="J58" s="49" t="s">
        <v>36</v>
      </c>
      <c r="K58" s="49" t="s">
        <v>37</v>
      </c>
    </row>
    <row r="59" spans="1:11" ht="15.75" customHeight="1">
      <c r="A59" s="49">
        <v>7</v>
      </c>
      <c r="B59" s="49" t="s">
        <v>901</v>
      </c>
      <c r="C59" s="49" t="s">
        <v>227</v>
      </c>
      <c r="D59" s="49" t="s">
        <v>902</v>
      </c>
      <c r="E59" s="49" t="s">
        <v>199</v>
      </c>
      <c r="F59" s="49"/>
      <c r="G59" s="49" t="s">
        <v>35</v>
      </c>
      <c r="H59" s="50">
        <v>1000</v>
      </c>
      <c r="I59" s="55">
        <v>150</v>
      </c>
      <c r="J59" s="49" t="s">
        <v>36</v>
      </c>
      <c r="K59" s="49" t="s">
        <v>37</v>
      </c>
    </row>
    <row r="60" spans="1:11" ht="15.75" customHeight="1">
      <c r="A60" s="49">
        <v>7</v>
      </c>
      <c r="B60" s="49" t="s">
        <v>672</v>
      </c>
      <c r="C60" s="49" t="s">
        <v>227</v>
      </c>
      <c r="D60" s="49" t="s">
        <v>619</v>
      </c>
      <c r="E60" s="49" t="s">
        <v>193</v>
      </c>
      <c r="F60" s="49"/>
      <c r="G60" s="49" t="s">
        <v>35</v>
      </c>
      <c r="H60" s="50">
        <v>2000</v>
      </c>
      <c r="I60" s="55">
        <v>300</v>
      </c>
      <c r="J60" s="49" t="s">
        <v>36</v>
      </c>
      <c r="K60" s="49" t="s">
        <v>37</v>
      </c>
    </row>
    <row r="61" spans="1:11" ht="15.75" customHeight="1">
      <c r="A61" s="49">
        <v>7</v>
      </c>
      <c r="B61" s="49" t="s">
        <v>903</v>
      </c>
      <c r="C61" s="49" t="s">
        <v>227</v>
      </c>
      <c r="D61" s="49" t="s">
        <v>32</v>
      </c>
      <c r="E61" s="49" t="s">
        <v>307</v>
      </c>
      <c r="F61" s="49"/>
      <c r="G61" s="49" t="s">
        <v>35</v>
      </c>
      <c r="H61" s="50">
        <v>300</v>
      </c>
      <c r="I61" s="55">
        <v>45</v>
      </c>
      <c r="J61" s="49" t="s">
        <v>36</v>
      </c>
      <c r="K61" s="49" t="s">
        <v>37</v>
      </c>
    </row>
    <row r="62" spans="1:11" ht="15.75" customHeight="1">
      <c r="A62" s="49">
        <v>7</v>
      </c>
      <c r="B62" s="49" t="s">
        <v>904</v>
      </c>
      <c r="C62" s="49" t="s">
        <v>227</v>
      </c>
      <c r="D62" s="49" t="s">
        <v>905</v>
      </c>
      <c r="E62" s="49" t="s">
        <v>51</v>
      </c>
      <c r="F62" s="49"/>
      <c r="G62" s="49" t="s">
        <v>35</v>
      </c>
      <c r="H62" s="50">
        <v>300</v>
      </c>
      <c r="I62" s="55">
        <v>45</v>
      </c>
      <c r="J62" s="49" t="s">
        <v>36</v>
      </c>
      <c r="K62" s="49" t="s">
        <v>37</v>
      </c>
    </row>
    <row r="63" spans="1:11" ht="15.75" customHeight="1">
      <c r="A63" s="49">
        <v>7</v>
      </c>
      <c r="B63" s="49" t="s">
        <v>906</v>
      </c>
      <c r="C63" s="49" t="s">
        <v>227</v>
      </c>
      <c r="D63" s="49" t="s">
        <v>907</v>
      </c>
      <c r="E63" s="49" t="s">
        <v>235</v>
      </c>
      <c r="F63" s="49"/>
      <c r="G63" s="49" t="s">
        <v>35</v>
      </c>
      <c r="H63" s="50">
        <v>5000</v>
      </c>
      <c r="I63" s="55">
        <v>750</v>
      </c>
      <c r="J63" s="49" t="s">
        <v>36</v>
      </c>
      <c r="K63" s="49" t="s">
        <v>37</v>
      </c>
    </row>
    <row r="64" spans="1:11" ht="15.75" customHeight="1">
      <c r="A64" s="49">
        <v>7</v>
      </c>
      <c r="B64" s="49" t="s">
        <v>908</v>
      </c>
      <c r="C64" s="49" t="s">
        <v>227</v>
      </c>
      <c r="D64" s="49" t="s">
        <v>385</v>
      </c>
      <c r="E64" s="49" t="s">
        <v>235</v>
      </c>
      <c r="F64" s="49"/>
      <c r="G64" s="49" t="s">
        <v>35</v>
      </c>
      <c r="H64" s="50">
        <v>300</v>
      </c>
      <c r="I64" s="55">
        <v>45</v>
      </c>
      <c r="J64" s="49" t="s">
        <v>36</v>
      </c>
      <c r="K64" s="49" t="s">
        <v>37</v>
      </c>
    </row>
    <row r="65" spans="1:11" ht="15.75" customHeight="1">
      <c r="A65" s="49">
        <v>7</v>
      </c>
      <c r="B65" s="49" t="s">
        <v>909</v>
      </c>
      <c r="C65" s="49" t="s">
        <v>246</v>
      </c>
      <c r="D65" s="49" t="s">
        <v>910</v>
      </c>
      <c r="E65" s="49" t="s">
        <v>248</v>
      </c>
      <c r="F65" s="49"/>
      <c r="G65" s="49" t="s">
        <v>35</v>
      </c>
      <c r="H65" s="50">
        <v>4000</v>
      </c>
      <c r="I65" s="55">
        <v>600</v>
      </c>
      <c r="J65" s="49" t="s">
        <v>36</v>
      </c>
      <c r="K65" s="49" t="s">
        <v>37</v>
      </c>
    </row>
    <row r="66" spans="1:11" ht="15.75" customHeight="1">
      <c r="A66" s="49">
        <v>7</v>
      </c>
      <c r="B66" s="49" t="s">
        <v>911</v>
      </c>
      <c r="C66" s="49" t="s">
        <v>227</v>
      </c>
      <c r="D66" s="49" t="s">
        <v>910</v>
      </c>
      <c r="E66" s="49" t="s">
        <v>248</v>
      </c>
      <c r="F66" s="49"/>
      <c r="G66" s="49" t="s">
        <v>35</v>
      </c>
      <c r="H66" s="50">
        <v>3500</v>
      </c>
      <c r="I66" s="55">
        <v>525</v>
      </c>
      <c r="J66" s="49" t="s">
        <v>36</v>
      </c>
      <c r="K66" s="49" t="s">
        <v>37</v>
      </c>
    </row>
    <row r="67" spans="1:11" ht="15.75" customHeight="1">
      <c r="A67" s="49">
        <v>7</v>
      </c>
      <c r="B67" s="49" t="s">
        <v>912</v>
      </c>
      <c r="C67" s="49" t="s">
        <v>227</v>
      </c>
      <c r="D67" s="49" t="s">
        <v>292</v>
      </c>
      <c r="E67" s="49" t="s">
        <v>235</v>
      </c>
      <c r="F67" s="49"/>
      <c r="G67" s="49" t="s">
        <v>35</v>
      </c>
      <c r="H67" s="50">
        <v>500</v>
      </c>
      <c r="I67" s="55">
        <v>75</v>
      </c>
      <c r="J67" s="49" t="s">
        <v>36</v>
      </c>
      <c r="K67" s="49" t="s">
        <v>37</v>
      </c>
    </row>
    <row r="68" spans="1:11" ht="15.75" customHeight="1">
      <c r="A68" s="49">
        <v>7</v>
      </c>
      <c r="B68" s="49" t="s">
        <v>913</v>
      </c>
      <c r="C68" s="49" t="s">
        <v>227</v>
      </c>
      <c r="D68" s="49" t="s">
        <v>32</v>
      </c>
      <c r="E68" s="49" t="s">
        <v>184</v>
      </c>
      <c r="F68" s="49"/>
      <c r="G68" s="49" t="s">
        <v>35</v>
      </c>
      <c r="H68" s="50">
        <v>3000</v>
      </c>
      <c r="I68" s="55">
        <v>450</v>
      </c>
      <c r="J68" s="49" t="s">
        <v>36</v>
      </c>
      <c r="K68" s="49" t="s">
        <v>37</v>
      </c>
    </row>
    <row r="69" spans="1:11" ht="15.75" customHeight="1">
      <c r="A69" s="49">
        <v>9</v>
      </c>
      <c r="B69" s="49" t="s">
        <v>914</v>
      </c>
      <c r="C69" s="49" t="s">
        <v>227</v>
      </c>
      <c r="D69" s="49" t="s">
        <v>896</v>
      </c>
      <c r="E69" s="49" t="s">
        <v>41</v>
      </c>
      <c r="F69" s="49"/>
      <c r="G69" s="49" t="s">
        <v>120</v>
      </c>
      <c r="H69" s="50">
        <v>20</v>
      </c>
      <c r="I69" s="55">
        <v>100</v>
      </c>
      <c r="J69" s="49" t="s">
        <v>36</v>
      </c>
      <c r="K69" s="49" t="s">
        <v>37</v>
      </c>
    </row>
    <row r="70" spans="1:11" ht="15.75" customHeight="1">
      <c r="A70" s="49">
        <v>9</v>
      </c>
      <c r="B70" s="49" t="s">
        <v>915</v>
      </c>
      <c r="C70" s="49" t="s">
        <v>227</v>
      </c>
      <c r="D70" s="49" t="s">
        <v>916</v>
      </c>
      <c r="E70" s="49" t="s">
        <v>917</v>
      </c>
      <c r="F70" s="49"/>
      <c r="G70" s="49" t="s">
        <v>35</v>
      </c>
      <c r="H70" s="50">
        <v>10000</v>
      </c>
      <c r="I70" s="55">
        <v>1500</v>
      </c>
      <c r="J70" s="49" t="s">
        <v>36</v>
      </c>
      <c r="K70" s="49" t="s">
        <v>37</v>
      </c>
    </row>
    <row r="71" spans="1:11" ht="15.75" customHeight="1">
      <c r="A71" s="49">
        <v>9</v>
      </c>
      <c r="B71" s="49" t="s">
        <v>918</v>
      </c>
      <c r="C71" s="49" t="s">
        <v>227</v>
      </c>
      <c r="D71" s="49" t="s">
        <v>264</v>
      </c>
      <c r="E71" s="49" t="s">
        <v>184</v>
      </c>
      <c r="F71" s="49"/>
      <c r="G71" s="49" t="s">
        <v>35</v>
      </c>
      <c r="H71" s="50">
        <v>14000</v>
      </c>
      <c r="I71" s="55">
        <v>2100</v>
      </c>
      <c r="J71" s="49" t="s">
        <v>36</v>
      </c>
      <c r="K71" s="49" t="s">
        <v>37</v>
      </c>
    </row>
    <row r="72" spans="1:11" ht="15.75" customHeight="1">
      <c r="A72" s="49">
        <v>9</v>
      </c>
      <c r="B72" s="49" t="s">
        <v>918</v>
      </c>
      <c r="C72" s="49" t="s">
        <v>227</v>
      </c>
      <c r="D72" s="49" t="s">
        <v>264</v>
      </c>
      <c r="E72" s="49" t="s">
        <v>184</v>
      </c>
      <c r="F72" s="49"/>
      <c r="G72" s="49" t="s">
        <v>86</v>
      </c>
      <c r="H72" s="50">
        <v>50</v>
      </c>
      <c r="I72" s="55">
        <v>30</v>
      </c>
      <c r="J72" s="49" t="s">
        <v>36</v>
      </c>
      <c r="K72" s="49" t="s">
        <v>37</v>
      </c>
    </row>
    <row r="73" spans="1:11" ht="15.75" customHeight="1">
      <c r="A73" s="49">
        <v>9</v>
      </c>
      <c r="B73" s="49" t="s">
        <v>919</v>
      </c>
      <c r="C73" s="49" t="s">
        <v>246</v>
      </c>
      <c r="D73" s="49" t="s">
        <v>375</v>
      </c>
      <c r="E73" s="49" t="s">
        <v>235</v>
      </c>
      <c r="F73" s="49"/>
      <c r="G73" s="49" t="s">
        <v>35</v>
      </c>
      <c r="H73" s="50">
        <v>1500</v>
      </c>
      <c r="I73" s="55">
        <v>225</v>
      </c>
      <c r="J73" s="49" t="s">
        <v>36</v>
      </c>
      <c r="K73" s="49" t="s">
        <v>37</v>
      </c>
    </row>
    <row r="74" spans="1:11" ht="15.75" customHeight="1">
      <c r="A74" s="49">
        <v>9</v>
      </c>
      <c r="B74" s="49" t="s">
        <v>920</v>
      </c>
      <c r="C74" s="49" t="s">
        <v>227</v>
      </c>
      <c r="D74" s="49" t="s">
        <v>921</v>
      </c>
      <c r="E74" s="49" t="s">
        <v>655</v>
      </c>
      <c r="F74" s="49"/>
      <c r="G74" s="49" t="s">
        <v>35</v>
      </c>
      <c r="H74" s="50">
        <v>1000</v>
      </c>
      <c r="I74" s="55">
        <v>150</v>
      </c>
      <c r="J74" s="49" t="s">
        <v>36</v>
      </c>
      <c r="K74" s="49" t="s">
        <v>37</v>
      </c>
    </row>
    <row r="75" spans="1:11" ht="15.75" customHeight="1">
      <c r="A75" s="49">
        <v>9</v>
      </c>
      <c r="B75" s="49" t="s">
        <v>922</v>
      </c>
      <c r="C75" s="49" t="s">
        <v>227</v>
      </c>
      <c r="D75" s="49"/>
      <c r="E75" s="49" t="s">
        <v>75</v>
      </c>
      <c r="F75" s="49"/>
      <c r="G75" s="49" t="s">
        <v>35</v>
      </c>
      <c r="H75" s="50">
        <v>100</v>
      </c>
      <c r="I75" s="55">
        <v>15</v>
      </c>
      <c r="J75" s="49" t="s">
        <v>36</v>
      </c>
      <c r="K75" s="49" t="s">
        <v>37</v>
      </c>
    </row>
    <row r="76" spans="1:11" ht="15.75" customHeight="1">
      <c r="A76" s="49">
        <v>9</v>
      </c>
      <c r="B76" s="49" t="s">
        <v>923</v>
      </c>
      <c r="C76" s="49" t="s">
        <v>227</v>
      </c>
      <c r="D76" s="49" t="s">
        <v>924</v>
      </c>
      <c r="E76" s="49" t="s">
        <v>248</v>
      </c>
      <c r="F76" s="49"/>
      <c r="G76" s="49" t="s">
        <v>35</v>
      </c>
      <c r="H76" s="50">
        <v>3000</v>
      </c>
      <c r="I76" s="55">
        <v>450</v>
      </c>
      <c r="J76" s="49" t="s">
        <v>36</v>
      </c>
      <c r="K76" s="49" t="s">
        <v>37</v>
      </c>
    </row>
    <row r="77" spans="1:11" ht="15.75" customHeight="1">
      <c r="A77" s="49">
        <v>9</v>
      </c>
      <c r="B77" s="49" t="s">
        <v>925</v>
      </c>
      <c r="C77" s="49" t="s">
        <v>227</v>
      </c>
      <c r="D77" s="49" t="s">
        <v>926</v>
      </c>
      <c r="E77" s="49" t="s">
        <v>251</v>
      </c>
      <c r="F77" s="49"/>
      <c r="G77" s="49" t="s">
        <v>120</v>
      </c>
      <c r="H77" s="50">
        <v>20</v>
      </c>
      <c r="I77" s="55">
        <v>100</v>
      </c>
      <c r="J77" s="49" t="s">
        <v>36</v>
      </c>
      <c r="K77" s="49" t="s">
        <v>37</v>
      </c>
    </row>
    <row r="78" spans="1:11" ht="15.75" customHeight="1">
      <c r="A78" s="49">
        <v>9</v>
      </c>
      <c r="B78" s="49" t="s">
        <v>925</v>
      </c>
      <c r="C78" s="49" t="s">
        <v>227</v>
      </c>
      <c r="D78" s="49" t="s">
        <v>926</v>
      </c>
      <c r="E78" s="49" t="s">
        <v>251</v>
      </c>
      <c r="F78" s="49"/>
      <c r="G78" s="49" t="s">
        <v>242</v>
      </c>
      <c r="H78" s="50">
        <v>9</v>
      </c>
      <c r="I78" s="55">
        <v>27</v>
      </c>
      <c r="J78" s="49" t="s">
        <v>36</v>
      </c>
      <c r="K78" s="49" t="s">
        <v>37</v>
      </c>
    </row>
    <row r="79" spans="1:11" ht="15.75" customHeight="1">
      <c r="A79" s="49">
        <v>10</v>
      </c>
      <c r="B79" s="49" t="s">
        <v>927</v>
      </c>
      <c r="C79" s="49" t="s">
        <v>246</v>
      </c>
      <c r="D79" s="49" t="s">
        <v>928</v>
      </c>
      <c r="E79" s="49" t="s">
        <v>48</v>
      </c>
      <c r="F79" s="49"/>
      <c r="G79" s="49" t="s">
        <v>35</v>
      </c>
      <c r="H79" s="50">
        <v>500</v>
      </c>
      <c r="I79" s="55">
        <v>75</v>
      </c>
      <c r="J79" s="49" t="s">
        <v>36</v>
      </c>
      <c r="K79" s="49" t="s">
        <v>37</v>
      </c>
    </row>
    <row r="80" spans="1:11" ht="15.75" customHeight="1">
      <c r="A80" s="49">
        <v>10</v>
      </c>
      <c r="B80" s="49" t="s">
        <v>929</v>
      </c>
      <c r="C80" s="49" t="s">
        <v>227</v>
      </c>
      <c r="D80" s="49" t="s">
        <v>564</v>
      </c>
      <c r="E80" s="49" t="s">
        <v>507</v>
      </c>
      <c r="F80" s="49"/>
      <c r="G80" s="49" t="s">
        <v>35</v>
      </c>
      <c r="H80" s="50">
        <v>5500</v>
      </c>
      <c r="I80" s="55">
        <v>825</v>
      </c>
      <c r="J80" s="49" t="s">
        <v>36</v>
      </c>
      <c r="K80" s="49" t="s">
        <v>37</v>
      </c>
    </row>
    <row r="81" spans="1:11" ht="15.75" customHeight="1">
      <c r="A81" s="49">
        <v>10</v>
      </c>
      <c r="B81" s="49" t="s">
        <v>929</v>
      </c>
      <c r="C81" s="49" t="s">
        <v>227</v>
      </c>
      <c r="D81" s="49" t="s">
        <v>564</v>
      </c>
      <c r="E81" s="49" t="s">
        <v>507</v>
      </c>
      <c r="F81" s="49"/>
      <c r="G81" s="49" t="s">
        <v>86</v>
      </c>
      <c r="H81" s="50">
        <v>500</v>
      </c>
      <c r="I81" s="55">
        <v>300</v>
      </c>
      <c r="J81" s="49" t="s">
        <v>36</v>
      </c>
      <c r="K81" s="49" t="s">
        <v>37</v>
      </c>
    </row>
    <row r="82" spans="1:11" ht="15.75" customHeight="1">
      <c r="A82" s="49">
        <v>10</v>
      </c>
      <c r="B82" s="49" t="s">
        <v>930</v>
      </c>
      <c r="C82" s="49" t="s">
        <v>246</v>
      </c>
      <c r="D82" s="49" t="s">
        <v>760</v>
      </c>
      <c r="E82" s="49" t="s">
        <v>241</v>
      </c>
      <c r="F82" s="49"/>
      <c r="G82" s="49" t="s">
        <v>35</v>
      </c>
      <c r="H82" s="50">
        <v>1000</v>
      </c>
      <c r="I82" s="55">
        <v>150</v>
      </c>
      <c r="J82" s="49" t="s">
        <v>36</v>
      </c>
      <c r="K82" s="49" t="s">
        <v>37</v>
      </c>
    </row>
    <row r="83" spans="1:11" ht="15.75" customHeight="1">
      <c r="A83" s="49">
        <v>10</v>
      </c>
      <c r="B83" s="49" t="s">
        <v>930</v>
      </c>
      <c r="C83" s="49" t="s">
        <v>246</v>
      </c>
      <c r="D83" s="49" t="s">
        <v>760</v>
      </c>
      <c r="E83" s="49" t="s">
        <v>241</v>
      </c>
      <c r="F83" s="49"/>
      <c r="G83" s="49" t="s">
        <v>86</v>
      </c>
      <c r="H83" s="50">
        <v>500</v>
      </c>
      <c r="I83" s="55">
        <v>300</v>
      </c>
      <c r="J83" s="49" t="s">
        <v>36</v>
      </c>
      <c r="K83" s="49" t="s">
        <v>37</v>
      </c>
    </row>
    <row r="84" spans="1:11" ht="15.75" customHeight="1">
      <c r="A84" s="49">
        <v>11</v>
      </c>
      <c r="B84" s="49" t="s">
        <v>931</v>
      </c>
      <c r="C84" s="49" t="s">
        <v>227</v>
      </c>
      <c r="D84" s="49" t="s">
        <v>819</v>
      </c>
      <c r="E84" s="49" t="s">
        <v>235</v>
      </c>
      <c r="F84" s="49"/>
      <c r="G84" s="49" t="s">
        <v>35</v>
      </c>
      <c r="H84" s="50">
        <v>1000</v>
      </c>
      <c r="I84" s="55">
        <v>150</v>
      </c>
      <c r="J84" s="49" t="s">
        <v>36</v>
      </c>
      <c r="K84" s="49" t="s">
        <v>37</v>
      </c>
    </row>
    <row r="85" spans="1:11" ht="15.75" customHeight="1">
      <c r="A85" s="49">
        <v>11</v>
      </c>
      <c r="B85" s="49" t="s">
        <v>932</v>
      </c>
      <c r="C85" s="49" t="s">
        <v>227</v>
      </c>
      <c r="D85" s="49" t="s">
        <v>407</v>
      </c>
      <c r="E85" s="49" t="s">
        <v>507</v>
      </c>
      <c r="F85" s="49"/>
      <c r="G85" s="49" t="s">
        <v>35</v>
      </c>
      <c r="H85" s="50">
        <v>1000</v>
      </c>
      <c r="I85" s="55">
        <v>150</v>
      </c>
      <c r="J85" s="49" t="s">
        <v>36</v>
      </c>
      <c r="K85" s="49" t="s">
        <v>37</v>
      </c>
    </row>
    <row r="86" spans="1:11" ht="15.75" customHeight="1">
      <c r="A86" s="49">
        <v>11</v>
      </c>
      <c r="B86" s="49" t="s">
        <v>933</v>
      </c>
      <c r="C86" s="49" t="s">
        <v>246</v>
      </c>
      <c r="D86" s="49" t="s">
        <v>934</v>
      </c>
      <c r="E86" s="49" t="s">
        <v>48</v>
      </c>
      <c r="F86" s="49"/>
      <c r="G86" s="49" t="s">
        <v>35</v>
      </c>
      <c r="H86" s="50">
        <v>200</v>
      </c>
      <c r="I86" s="55">
        <v>50</v>
      </c>
      <c r="J86" s="49" t="s">
        <v>36</v>
      </c>
      <c r="K86" s="49" t="s">
        <v>37</v>
      </c>
    </row>
    <row r="87" spans="1:11" ht="15.75" customHeight="1">
      <c r="A87" s="49">
        <v>12</v>
      </c>
      <c r="B87" s="49" t="s">
        <v>935</v>
      </c>
      <c r="C87" s="49" t="s">
        <v>246</v>
      </c>
      <c r="D87" s="49" t="s">
        <v>32</v>
      </c>
      <c r="E87" s="49" t="s">
        <v>184</v>
      </c>
      <c r="F87" s="49"/>
      <c r="G87" s="49" t="s">
        <v>35</v>
      </c>
      <c r="H87" s="50">
        <v>500</v>
      </c>
      <c r="I87" s="55">
        <v>125</v>
      </c>
      <c r="J87" s="49" t="s">
        <v>36</v>
      </c>
      <c r="K87" s="49" t="s">
        <v>37</v>
      </c>
    </row>
    <row r="88" spans="1:11" ht="15.75" customHeight="1">
      <c r="A88" s="49">
        <v>12</v>
      </c>
      <c r="B88" s="49" t="s">
        <v>595</v>
      </c>
      <c r="C88" s="49" t="s">
        <v>227</v>
      </c>
      <c r="D88" s="49" t="s">
        <v>936</v>
      </c>
      <c r="E88" s="49" t="s">
        <v>75</v>
      </c>
      <c r="F88" s="49"/>
      <c r="G88" s="49" t="s">
        <v>120</v>
      </c>
      <c r="H88" s="50">
        <v>200</v>
      </c>
      <c r="I88" s="55">
        <v>1000</v>
      </c>
      <c r="J88" s="49" t="s">
        <v>36</v>
      </c>
      <c r="K88" s="49" t="s">
        <v>37</v>
      </c>
    </row>
    <row r="89" spans="1:11" ht="15.75" customHeight="1">
      <c r="A89" s="49">
        <v>12</v>
      </c>
      <c r="B89" s="49" t="s">
        <v>937</v>
      </c>
      <c r="C89" s="49" t="s">
        <v>246</v>
      </c>
      <c r="D89" s="49" t="s">
        <v>938</v>
      </c>
      <c r="E89" s="49" t="s">
        <v>251</v>
      </c>
      <c r="F89" s="49"/>
      <c r="G89" s="49" t="s">
        <v>35</v>
      </c>
      <c r="H89" s="50">
        <v>100</v>
      </c>
      <c r="I89" s="55">
        <v>25</v>
      </c>
      <c r="J89" s="49" t="s">
        <v>36</v>
      </c>
      <c r="K89" s="49" t="s">
        <v>37</v>
      </c>
    </row>
    <row r="90" spans="1:11" ht="15.75" customHeight="1">
      <c r="A90" s="49">
        <v>12</v>
      </c>
      <c r="B90" s="49" t="s">
        <v>939</v>
      </c>
      <c r="C90" s="49" t="s">
        <v>227</v>
      </c>
      <c r="D90" s="49" t="s">
        <v>940</v>
      </c>
      <c r="E90" s="49" t="s">
        <v>184</v>
      </c>
      <c r="F90" s="49"/>
      <c r="G90" s="49" t="s">
        <v>35</v>
      </c>
      <c r="H90" s="50">
        <v>6000</v>
      </c>
      <c r="I90" s="55">
        <v>900</v>
      </c>
      <c r="J90" s="49" t="s">
        <v>36</v>
      </c>
      <c r="K90" s="49" t="s">
        <v>37</v>
      </c>
    </row>
    <row r="91" spans="1:11" ht="15.75" customHeight="1">
      <c r="A91" s="49">
        <v>12</v>
      </c>
      <c r="B91" s="49" t="s">
        <v>939</v>
      </c>
      <c r="C91" s="49" t="s">
        <v>227</v>
      </c>
      <c r="D91" s="49" t="s">
        <v>940</v>
      </c>
      <c r="E91" s="49" t="s">
        <v>184</v>
      </c>
      <c r="F91" s="49"/>
      <c r="G91" s="49" t="s">
        <v>86</v>
      </c>
      <c r="H91" s="50">
        <v>100</v>
      </c>
      <c r="I91" s="55">
        <v>60</v>
      </c>
      <c r="J91" s="49" t="s">
        <v>36</v>
      </c>
      <c r="K91" s="49" t="s">
        <v>37</v>
      </c>
    </row>
    <row r="92" spans="1:11" ht="15.75" customHeight="1">
      <c r="A92" s="49">
        <v>12</v>
      </c>
      <c r="B92" s="49" t="s">
        <v>941</v>
      </c>
      <c r="C92" s="49" t="s">
        <v>227</v>
      </c>
      <c r="D92" s="49" t="s">
        <v>942</v>
      </c>
      <c r="E92" s="49" t="s">
        <v>241</v>
      </c>
      <c r="F92" s="49"/>
      <c r="G92" s="49" t="s">
        <v>35</v>
      </c>
      <c r="H92" s="50">
        <v>500</v>
      </c>
      <c r="I92" s="55"/>
      <c r="J92" s="49" t="s">
        <v>43</v>
      </c>
      <c r="K92" s="49" t="s">
        <v>37</v>
      </c>
    </row>
    <row r="93" spans="1:11" ht="15.75" customHeight="1">
      <c r="A93" s="49">
        <v>12</v>
      </c>
      <c r="B93" s="49" t="s">
        <v>943</v>
      </c>
      <c r="C93" s="49" t="s">
        <v>227</v>
      </c>
      <c r="D93" s="49" t="s">
        <v>944</v>
      </c>
      <c r="E93" s="49" t="s">
        <v>241</v>
      </c>
      <c r="F93" s="49"/>
      <c r="G93" s="49" t="s">
        <v>35</v>
      </c>
      <c r="H93" s="50">
        <v>500</v>
      </c>
      <c r="I93" s="55"/>
      <c r="J93" s="49" t="s">
        <v>43</v>
      </c>
      <c r="K93" s="49" t="s">
        <v>37</v>
      </c>
    </row>
    <row r="94" spans="1:11" ht="15.75" customHeight="1">
      <c r="A94" s="30">
        <v>13</v>
      </c>
      <c r="B94" s="30" t="s">
        <v>945</v>
      </c>
      <c r="C94" s="30" t="s">
        <v>227</v>
      </c>
      <c r="D94" s="30" t="s">
        <v>247</v>
      </c>
      <c r="E94" s="30" t="s">
        <v>307</v>
      </c>
      <c r="F94" s="49"/>
      <c r="G94" s="49" t="s">
        <v>35</v>
      </c>
      <c r="H94" s="50">
        <v>60</v>
      </c>
      <c r="I94" s="55">
        <v>15</v>
      </c>
      <c r="J94" s="49" t="s">
        <v>36</v>
      </c>
      <c r="K94" s="49" t="s">
        <v>37</v>
      </c>
    </row>
    <row r="95" spans="1:11" ht="15.75" customHeight="1">
      <c r="A95" s="49">
        <v>13</v>
      </c>
      <c r="B95" s="49" t="s">
        <v>946</v>
      </c>
      <c r="C95" s="49" t="s">
        <v>227</v>
      </c>
      <c r="D95" s="49" t="s">
        <v>947</v>
      </c>
      <c r="E95" s="49" t="s">
        <v>307</v>
      </c>
      <c r="F95" s="49"/>
      <c r="G95" s="49" t="s">
        <v>35</v>
      </c>
      <c r="H95" s="50">
        <v>50</v>
      </c>
      <c r="I95" s="55"/>
      <c r="J95" s="49" t="s">
        <v>36</v>
      </c>
      <c r="K95" s="49" t="s">
        <v>37</v>
      </c>
    </row>
    <row r="96" spans="1:11" ht="15.75" customHeight="1">
      <c r="A96" s="49">
        <v>13</v>
      </c>
      <c r="B96" s="49" t="s">
        <v>948</v>
      </c>
      <c r="C96" s="49" t="s">
        <v>227</v>
      </c>
      <c r="D96" s="49" t="s">
        <v>32</v>
      </c>
      <c r="E96" s="49" t="s">
        <v>307</v>
      </c>
      <c r="F96" s="49"/>
      <c r="G96" s="49" t="s">
        <v>35</v>
      </c>
      <c r="H96" s="50">
        <v>60</v>
      </c>
      <c r="I96" s="55">
        <v>15</v>
      </c>
      <c r="J96" s="49" t="s">
        <v>36</v>
      </c>
      <c r="K96" s="49" t="s">
        <v>37</v>
      </c>
    </row>
    <row r="97" spans="1:11" ht="15.75" customHeight="1">
      <c r="A97" s="49">
        <v>13</v>
      </c>
      <c r="B97" s="49" t="s">
        <v>948</v>
      </c>
      <c r="C97" s="49" t="s">
        <v>227</v>
      </c>
      <c r="D97" s="49" t="s">
        <v>32</v>
      </c>
      <c r="E97" s="49" t="s">
        <v>307</v>
      </c>
      <c r="F97" s="49"/>
      <c r="G97" s="49" t="s">
        <v>120</v>
      </c>
      <c r="H97" s="50">
        <v>5</v>
      </c>
      <c r="I97" s="55">
        <v>25</v>
      </c>
      <c r="J97" s="49" t="s">
        <v>36</v>
      </c>
      <c r="K97" s="49" t="s">
        <v>37</v>
      </c>
    </row>
    <row r="98" spans="1:11" ht="15.75" customHeight="1">
      <c r="A98" s="49">
        <v>14</v>
      </c>
      <c r="B98" s="49" t="s">
        <v>949</v>
      </c>
      <c r="C98" s="49" t="s">
        <v>246</v>
      </c>
      <c r="D98" s="49" t="s">
        <v>950</v>
      </c>
      <c r="E98" s="49" t="s">
        <v>84</v>
      </c>
      <c r="F98" s="49"/>
      <c r="G98" s="49" t="s">
        <v>35</v>
      </c>
      <c r="H98" s="50">
        <v>25000</v>
      </c>
      <c r="I98" s="55">
        <v>3750</v>
      </c>
      <c r="J98" s="49" t="s">
        <v>36</v>
      </c>
      <c r="K98" s="49" t="s">
        <v>37</v>
      </c>
    </row>
    <row r="99" spans="1:11" ht="15.75" customHeight="1">
      <c r="A99" s="49">
        <v>14</v>
      </c>
      <c r="B99" s="49" t="s">
        <v>949</v>
      </c>
      <c r="C99" s="49" t="s">
        <v>246</v>
      </c>
      <c r="D99" s="49" t="s">
        <v>950</v>
      </c>
      <c r="E99" s="49" t="s">
        <v>84</v>
      </c>
      <c r="F99" s="49"/>
      <c r="G99" s="49" t="s">
        <v>120</v>
      </c>
      <c r="H99" s="50">
        <v>20</v>
      </c>
      <c r="I99" s="55">
        <v>100</v>
      </c>
      <c r="J99" s="49" t="s">
        <v>36</v>
      </c>
      <c r="K99" s="49" t="s">
        <v>37</v>
      </c>
    </row>
    <row r="100" spans="1:11" ht="15.75" customHeight="1">
      <c r="A100" s="49">
        <v>14</v>
      </c>
      <c r="B100" s="49" t="s">
        <v>951</v>
      </c>
      <c r="C100" s="49" t="s">
        <v>227</v>
      </c>
      <c r="D100" s="49" t="s">
        <v>32</v>
      </c>
      <c r="E100" s="49" t="s">
        <v>152</v>
      </c>
      <c r="F100" s="49"/>
      <c r="G100" s="49" t="s">
        <v>120</v>
      </c>
      <c r="H100" s="50">
        <v>200</v>
      </c>
      <c r="I100" s="55">
        <v>1000</v>
      </c>
      <c r="J100" s="49" t="s">
        <v>36</v>
      </c>
      <c r="K100" s="49" t="s">
        <v>37</v>
      </c>
    </row>
    <row r="101" spans="1:11" ht="15.75" customHeight="1">
      <c r="A101" s="49">
        <v>14</v>
      </c>
      <c r="B101" s="49" t="s">
        <v>952</v>
      </c>
      <c r="C101" s="49" t="s">
        <v>227</v>
      </c>
      <c r="D101" s="49" t="s">
        <v>679</v>
      </c>
      <c r="E101" s="49" t="s">
        <v>232</v>
      </c>
      <c r="F101" s="49"/>
      <c r="G101" s="49" t="s">
        <v>35</v>
      </c>
      <c r="H101" s="50">
        <v>200</v>
      </c>
      <c r="I101" s="55">
        <v>30</v>
      </c>
      <c r="J101" s="49" t="s">
        <v>36</v>
      </c>
      <c r="K101" s="49" t="s">
        <v>37</v>
      </c>
    </row>
    <row r="102" spans="1:11" ht="15.75" customHeight="1">
      <c r="A102" s="49">
        <v>14</v>
      </c>
      <c r="B102" s="49" t="s">
        <v>953</v>
      </c>
      <c r="C102" s="49" t="s">
        <v>246</v>
      </c>
      <c r="D102" s="49" t="s">
        <v>396</v>
      </c>
      <c r="E102" s="49" t="s">
        <v>48</v>
      </c>
      <c r="F102" s="49"/>
      <c r="G102" s="49" t="s">
        <v>120</v>
      </c>
      <c r="H102" s="50">
        <v>200</v>
      </c>
      <c r="I102" s="55">
        <v>1000</v>
      </c>
      <c r="J102" s="49" t="s">
        <v>36</v>
      </c>
      <c r="K102" s="49" t="s">
        <v>37</v>
      </c>
    </row>
    <row r="103" spans="1:11" ht="15.75" customHeight="1">
      <c r="A103" s="49">
        <v>16</v>
      </c>
      <c r="B103" s="49" t="s">
        <v>954</v>
      </c>
      <c r="C103" s="49" t="s">
        <v>227</v>
      </c>
      <c r="D103" s="49" t="s">
        <v>33</v>
      </c>
      <c r="E103" s="49" t="s">
        <v>307</v>
      </c>
      <c r="F103" s="49"/>
      <c r="G103" s="49" t="s">
        <v>35</v>
      </c>
      <c r="H103" s="50">
        <v>300</v>
      </c>
      <c r="I103" s="55">
        <v>45</v>
      </c>
      <c r="J103" s="49" t="s">
        <v>36</v>
      </c>
      <c r="K103" s="49" t="s">
        <v>37</v>
      </c>
    </row>
    <row r="104" spans="1:11" ht="15.75" customHeight="1">
      <c r="A104" s="49">
        <v>16</v>
      </c>
      <c r="B104" s="49" t="s">
        <v>955</v>
      </c>
      <c r="C104" s="49" t="s">
        <v>227</v>
      </c>
      <c r="D104" s="49" t="s">
        <v>272</v>
      </c>
      <c r="E104" s="49" t="s">
        <v>193</v>
      </c>
      <c r="F104" s="49"/>
      <c r="G104" s="49" t="s">
        <v>120</v>
      </c>
      <c r="H104" s="50">
        <v>251</v>
      </c>
      <c r="I104" s="55">
        <v>1255</v>
      </c>
      <c r="J104" s="49" t="s">
        <v>36</v>
      </c>
      <c r="K104" s="49" t="s">
        <v>37</v>
      </c>
    </row>
    <row r="105" spans="1:11" ht="15.75" customHeight="1">
      <c r="A105" s="49">
        <v>16</v>
      </c>
      <c r="B105" s="49" t="s">
        <v>955</v>
      </c>
      <c r="C105" s="49" t="s">
        <v>227</v>
      </c>
      <c r="D105" s="49" t="s">
        <v>272</v>
      </c>
      <c r="E105" s="49" t="s">
        <v>193</v>
      </c>
      <c r="F105" s="49"/>
      <c r="G105" s="49" t="s">
        <v>242</v>
      </c>
      <c r="H105" s="50">
        <v>15</v>
      </c>
      <c r="I105" s="55">
        <v>45</v>
      </c>
      <c r="J105" s="49" t="s">
        <v>36</v>
      </c>
      <c r="K105" s="49" t="s">
        <v>37</v>
      </c>
    </row>
    <row r="106" spans="1:11" ht="15.75" customHeight="1">
      <c r="A106" s="49">
        <v>16</v>
      </c>
      <c r="B106" s="49" t="s">
        <v>956</v>
      </c>
      <c r="C106" s="49" t="s">
        <v>227</v>
      </c>
      <c r="D106" s="49" t="s">
        <v>957</v>
      </c>
      <c r="E106" s="49" t="s">
        <v>917</v>
      </c>
      <c r="F106" s="49"/>
      <c r="G106" s="49" t="s">
        <v>86</v>
      </c>
      <c r="H106" s="50">
        <v>1500</v>
      </c>
      <c r="I106" s="55">
        <v>900</v>
      </c>
      <c r="J106" s="49" t="s">
        <v>36</v>
      </c>
      <c r="K106" s="49" t="s">
        <v>37</v>
      </c>
    </row>
    <row r="107" spans="1:11" ht="15.75" customHeight="1">
      <c r="A107" s="49">
        <v>17</v>
      </c>
      <c r="B107" s="49" t="s">
        <v>958</v>
      </c>
      <c r="C107" s="49" t="s">
        <v>246</v>
      </c>
      <c r="D107" s="49" t="s">
        <v>959</v>
      </c>
      <c r="E107" s="49" t="s">
        <v>507</v>
      </c>
      <c r="F107" s="49"/>
      <c r="G107" s="49" t="s">
        <v>35</v>
      </c>
      <c r="H107" s="50">
        <v>500</v>
      </c>
      <c r="I107" s="55">
        <v>75</v>
      </c>
      <c r="J107" s="49" t="s">
        <v>36</v>
      </c>
      <c r="K107" s="49" t="s">
        <v>37</v>
      </c>
    </row>
    <row r="108" spans="1:11" ht="15.75" customHeight="1">
      <c r="A108" s="49">
        <v>17</v>
      </c>
      <c r="B108" s="49" t="s">
        <v>958</v>
      </c>
      <c r="C108" s="49" t="s">
        <v>246</v>
      </c>
      <c r="D108" s="49" t="s">
        <v>959</v>
      </c>
      <c r="E108" s="49" t="s">
        <v>507</v>
      </c>
      <c r="F108" s="49"/>
      <c r="G108" s="49" t="s">
        <v>35</v>
      </c>
      <c r="H108" s="50">
        <v>500</v>
      </c>
      <c r="I108" s="55"/>
      <c r="J108" s="49" t="s">
        <v>43</v>
      </c>
      <c r="K108" s="49" t="s">
        <v>37</v>
      </c>
    </row>
    <row r="109" spans="1:11" ht="15.75" customHeight="1">
      <c r="A109" s="49">
        <v>17</v>
      </c>
      <c r="B109" s="49" t="s">
        <v>960</v>
      </c>
      <c r="C109" s="49" t="s">
        <v>227</v>
      </c>
      <c r="D109" s="49" t="s">
        <v>768</v>
      </c>
      <c r="E109" s="49" t="s">
        <v>251</v>
      </c>
      <c r="F109" s="49"/>
      <c r="G109" s="49" t="s">
        <v>35</v>
      </c>
      <c r="H109" s="50">
        <v>300</v>
      </c>
      <c r="I109" s="55">
        <v>45</v>
      </c>
      <c r="J109" s="49" t="s">
        <v>36</v>
      </c>
      <c r="K109" s="49" t="s">
        <v>37</v>
      </c>
    </row>
    <row r="110" spans="1:11" ht="15.75" customHeight="1">
      <c r="A110" s="49">
        <v>17</v>
      </c>
      <c r="B110" s="49" t="s">
        <v>960</v>
      </c>
      <c r="C110" s="49" t="s">
        <v>227</v>
      </c>
      <c r="D110" s="49" t="s">
        <v>768</v>
      </c>
      <c r="E110" s="49" t="s">
        <v>251</v>
      </c>
      <c r="F110" s="49"/>
      <c r="G110" s="49" t="s">
        <v>86</v>
      </c>
      <c r="H110" s="50">
        <v>100</v>
      </c>
      <c r="I110" s="55">
        <v>60</v>
      </c>
      <c r="J110" s="49" t="s">
        <v>36</v>
      </c>
      <c r="K110" s="49" t="s">
        <v>37</v>
      </c>
    </row>
    <row r="111" spans="1:11" ht="15.75" customHeight="1">
      <c r="A111" s="49">
        <v>17</v>
      </c>
      <c r="B111" s="49" t="s">
        <v>961</v>
      </c>
      <c r="C111" s="49" t="s">
        <v>227</v>
      </c>
      <c r="D111" s="49" t="s">
        <v>375</v>
      </c>
      <c r="E111" s="49" t="s">
        <v>235</v>
      </c>
      <c r="F111" s="49"/>
      <c r="G111" s="49" t="s">
        <v>120</v>
      </c>
      <c r="H111" s="50">
        <v>13</v>
      </c>
      <c r="I111" s="55">
        <v>130</v>
      </c>
      <c r="J111" s="49" t="s">
        <v>36</v>
      </c>
      <c r="K111" s="49" t="s">
        <v>37</v>
      </c>
    </row>
    <row r="112" spans="1:11" ht="15.75" customHeight="1">
      <c r="A112" s="49">
        <v>17</v>
      </c>
      <c r="B112" s="49" t="s">
        <v>962</v>
      </c>
      <c r="C112" s="49" t="s">
        <v>246</v>
      </c>
      <c r="D112" s="49" t="s">
        <v>211</v>
      </c>
      <c r="E112" s="49" t="s">
        <v>106</v>
      </c>
      <c r="F112" s="49"/>
      <c r="G112" s="49" t="s">
        <v>242</v>
      </c>
      <c r="H112" s="50">
        <v>25</v>
      </c>
      <c r="I112" s="55">
        <v>75</v>
      </c>
      <c r="J112" s="49" t="s">
        <v>36</v>
      </c>
      <c r="K112" s="49" t="s">
        <v>37</v>
      </c>
    </row>
    <row r="113" spans="1:11" ht="15.75" customHeight="1">
      <c r="A113" s="49">
        <v>17</v>
      </c>
      <c r="B113" s="49" t="s">
        <v>963</v>
      </c>
      <c r="C113" s="49" t="s">
        <v>227</v>
      </c>
      <c r="D113" s="49" t="s">
        <v>33</v>
      </c>
      <c r="E113" s="49" t="s">
        <v>251</v>
      </c>
      <c r="F113" s="49"/>
      <c r="G113" s="49" t="s">
        <v>120</v>
      </c>
      <c r="H113" s="50">
        <v>5</v>
      </c>
      <c r="I113" s="55">
        <v>50</v>
      </c>
      <c r="J113" s="49" t="s">
        <v>36</v>
      </c>
      <c r="K113" s="49" t="s">
        <v>37</v>
      </c>
    </row>
    <row r="114" spans="1:11" ht="15.75" customHeight="1">
      <c r="A114" s="49">
        <v>17</v>
      </c>
      <c r="B114" s="49" t="s">
        <v>964</v>
      </c>
      <c r="C114" s="49" t="s">
        <v>246</v>
      </c>
      <c r="D114" s="49" t="s">
        <v>228</v>
      </c>
      <c r="E114" s="49" t="s">
        <v>254</v>
      </c>
      <c r="F114" s="49"/>
      <c r="G114" s="49" t="s">
        <v>120</v>
      </c>
      <c r="H114" s="50">
        <v>50</v>
      </c>
      <c r="I114" s="55">
        <v>500</v>
      </c>
      <c r="J114" s="49" t="s">
        <v>36</v>
      </c>
      <c r="K114" s="49" t="s">
        <v>37</v>
      </c>
    </row>
    <row r="115" spans="1:11" ht="15.75" customHeight="1">
      <c r="A115" s="49">
        <v>17</v>
      </c>
      <c r="B115" s="49" t="s">
        <v>965</v>
      </c>
      <c r="C115" s="49" t="s">
        <v>227</v>
      </c>
      <c r="D115" s="49" t="s">
        <v>32</v>
      </c>
      <c r="E115" s="49" t="s">
        <v>232</v>
      </c>
      <c r="F115" s="49"/>
      <c r="G115" s="49" t="s">
        <v>273</v>
      </c>
      <c r="H115" s="50">
        <v>30</v>
      </c>
      <c r="I115" s="55">
        <v>90</v>
      </c>
      <c r="J115" s="49" t="s">
        <v>36</v>
      </c>
      <c r="K115" s="49" t="s">
        <v>37</v>
      </c>
    </row>
    <row r="116" spans="1:11" ht="15.75" customHeight="1">
      <c r="A116" s="49">
        <v>17</v>
      </c>
      <c r="B116" s="49" t="s">
        <v>966</v>
      </c>
      <c r="C116" s="49" t="s">
        <v>246</v>
      </c>
      <c r="D116" s="49" t="s">
        <v>444</v>
      </c>
      <c r="E116" s="49" t="s">
        <v>235</v>
      </c>
      <c r="F116" s="49"/>
      <c r="G116" s="49" t="s">
        <v>120</v>
      </c>
      <c r="H116" s="50">
        <v>80</v>
      </c>
      <c r="I116" s="55">
        <v>400</v>
      </c>
      <c r="J116" s="49" t="s">
        <v>36</v>
      </c>
      <c r="K116" s="49" t="s">
        <v>37</v>
      </c>
    </row>
    <row r="117" spans="1:11" ht="15.75" customHeight="1">
      <c r="A117" s="49">
        <v>17</v>
      </c>
      <c r="B117" s="49" t="s">
        <v>967</v>
      </c>
      <c r="C117" s="49" t="s">
        <v>227</v>
      </c>
      <c r="D117" s="49" t="s">
        <v>607</v>
      </c>
      <c r="E117" s="49" t="s">
        <v>235</v>
      </c>
      <c r="F117" s="49"/>
      <c r="G117" s="49" t="s">
        <v>120</v>
      </c>
      <c r="H117" s="50">
        <v>15</v>
      </c>
      <c r="I117" s="55">
        <v>75</v>
      </c>
      <c r="J117" s="49" t="s">
        <v>36</v>
      </c>
      <c r="K117" s="49" t="s">
        <v>37</v>
      </c>
    </row>
    <row r="118" spans="1:11" ht="15.75" customHeight="1">
      <c r="A118" s="49">
        <v>18</v>
      </c>
      <c r="B118" s="49" t="s">
        <v>968</v>
      </c>
      <c r="C118" s="49" t="s">
        <v>227</v>
      </c>
      <c r="D118" s="49" t="s">
        <v>768</v>
      </c>
      <c r="E118" s="49" t="s">
        <v>251</v>
      </c>
      <c r="F118" s="49"/>
      <c r="G118" s="49" t="s">
        <v>35</v>
      </c>
      <c r="H118" s="50">
        <v>300</v>
      </c>
      <c r="I118" s="55">
        <v>45</v>
      </c>
      <c r="J118" s="49" t="s">
        <v>36</v>
      </c>
      <c r="K118" s="49" t="s">
        <v>37</v>
      </c>
    </row>
    <row r="119" spans="1:11" ht="15.75" customHeight="1">
      <c r="A119" s="49">
        <v>18</v>
      </c>
      <c r="B119" s="49" t="s">
        <v>968</v>
      </c>
      <c r="C119" s="49" t="s">
        <v>227</v>
      </c>
      <c r="D119" s="49" t="s">
        <v>768</v>
      </c>
      <c r="E119" s="49" t="s">
        <v>251</v>
      </c>
      <c r="F119" s="49"/>
      <c r="G119" s="49" t="s">
        <v>86</v>
      </c>
      <c r="H119" s="50">
        <v>200</v>
      </c>
      <c r="I119" s="55">
        <v>120</v>
      </c>
      <c r="J119" s="49" t="s">
        <v>36</v>
      </c>
      <c r="K119" s="49" t="s">
        <v>37</v>
      </c>
    </row>
    <row r="120" spans="1:11" ht="15.75" customHeight="1">
      <c r="A120" s="49">
        <v>18</v>
      </c>
      <c r="B120" s="49" t="s">
        <v>969</v>
      </c>
      <c r="C120" s="49" t="s">
        <v>227</v>
      </c>
      <c r="D120" s="49" t="s">
        <v>607</v>
      </c>
      <c r="E120" s="49" t="s">
        <v>235</v>
      </c>
      <c r="F120" s="49"/>
      <c r="G120" s="49" t="s">
        <v>120</v>
      </c>
      <c r="H120" s="50">
        <v>20</v>
      </c>
      <c r="I120" s="55">
        <v>100</v>
      </c>
      <c r="J120" s="49" t="s">
        <v>36</v>
      </c>
      <c r="K120" s="49" t="s">
        <v>37</v>
      </c>
    </row>
    <row r="121" spans="1:11" ht="15.75" customHeight="1">
      <c r="A121" s="49">
        <v>18</v>
      </c>
      <c r="B121" s="49" t="s">
        <v>970</v>
      </c>
      <c r="C121" s="49" t="s">
        <v>246</v>
      </c>
      <c r="D121" s="49" t="s">
        <v>971</v>
      </c>
      <c r="E121" s="49" t="s">
        <v>232</v>
      </c>
      <c r="F121" s="49"/>
      <c r="G121" s="49" t="s">
        <v>35</v>
      </c>
      <c r="H121" s="50">
        <v>500</v>
      </c>
      <c r="I121" s="55">
        <v>75</v>
      </c>
      <c r="J121" s="49" t="s">
        <v>36</v>
      </c>
      <c r="K121" s="49" t="s">
        <v>37</v>
      </c>
    </row>
    <row r="122" spans="1:11" ht="15.75" customHeight="1">
      <c r="A122" s="49">
        <v>18</v>
      </c>
      <c r="B122" s="49" t="s">
        <v>970</v>
      </c>
      <c r="C122" s="49" t="s">
        <v>246</v>
      </c>
      <c r="D122" s="49" t="s">
        <v>971</v>
      </c>
      <c r="E122" s="49" t="s">
        <v>232</v>
      </c>
      <c r="F122" s="49"/>
      <c r="G122" s="49" t="s">
        <v>86</v>
      </c>
      <c r="H122" s="50">
        <v>100</v>
      </c>
      <c r="I122" s="55">
        <v>60</v>
      </c>
      <c r="J122" s="49" t="s">
        <v>36</v>
      </c>
      <c r="K122" s="49" t="s">
        <v>37</v>
      </c>
    </row>
    <row r="123" spans="1:11" ht="15.75" customHeight="1">
      <c r="A123" s="49">
        <v>18</v>
      </c>
      <c r="B123" s="49" t="s">
        <v>972</v>
      </c>
      <c r="C123" s="49" t="s">
        <v>246</v>
      </c>
      <c r="D123" s="49" t="s">
        <v>554</v>
      </c>
      <c r="E123" s="49" t="s">
        <v>235</v>
      </c>
      <c r="F123" s="49"/>
      <c r="G123" s="49" t="s">
        <v>120</v>
      </c>
      <c r="H123" s="50">
        <v>10</v>
      </c>
      <c r="I123" s="55">
        <v>50</v>
      </c>
      <c r="J123" s="49" t="s">
        <v>36</v>
      </c>
      <c r="K123" s="49" t="s">
        <v>37</v>
      </c>
    </row>
    <row r="124" spans="1:11" ht="15.75" customHeight="1">
      <c r="A124" s="49">
        <v>19</v>
      </c>
      <c r="B124" s="49" t="s">
        <v>973</v>
      </c>
      <c r="C124" s="49" t="s">
        <v>227</v>
      </c>
      <c r="D124" s="49" t="s">
        <v>974</v>
      </c>
      <c r="E124" s="49" t="s">
        <v>48</v>
      </c>
      <c r="F124" s="49"/>
      <c r="G124" s="49" t="s">
        <v>35</v>
      </c>
      <c r="H124" s="50">
        <v>100</v>
      </c>
      <c r="I124" s="55">
        <v>15</v>
      </c>
      <c r="J124" s="49" t="s">
        <v>36</v>
      </c>
      <c r="K124" s="49" t="s">
        <v>37</v>
      </c>
    </row>
    <row r="125" spans="1:11" ht="15.75" customHeight="1">
      <c r="A125" s="49">
        <v>19</v>
      </c>
      <c r="B125" s="49" t="s">
        <v>975</v>
      </c>
      <c r="C125" s="49" t="s">
        <v>227</v>
      </c>
      <c r="D125" s="49" t="s">
        <v>900</v>
      </c>
      <c r="E125" s="49" t="s">
        <v>251</v>
      </c>
      <c r="F125" s="49"/>
      <c r="G125" s="49" t="s">
        <v>120</v>
      </c>
      <c r="H125" s="50">
        <v>25</v>
      </c>
      <c r="I125" s="55">
        <v>250</v>
      </c>
      <c r="J125" s="49" t="s">
        <v>36</v>
      </c>
      <c r="K125" s="49" t="s">
        <v>37</v>
      </c>
    </row>
    <row r="126" spans="1:11" ht="15.75" customHeight="1">
      <c r="A126" s="49">
        <v>19</v>
      </c>
      <c r="B126" s="49" t="s">
        <v>976</v>
      </c>
      <c r="C126" s="49" t="s">
        <v>227</v>
      </c>
      <c r="D126" s="49" t="s">
        <v>444</v>
      </c>
      <c r="E126" s="49" t="s">
        <v>235</v>
      </c>
      <c r="F126" s="49"/>
      <c r="G126" s="49" t="s">
        <v>35</v>
      </c>
      <c r="H126" s="50">
        <v>100</v>
      </c>
      <c r="I126" s="55">
        <v>25</v>
      </c>
      <c r="J126" s="49" t="s">
        <v>36</v>
      </c>
      <c r="K126" s="49" t="s">
        <v>37</v>
      </c>
    </row>
    <row r="127" spans="1:11" ht="15.75" customHeight="1">
      <c r="A127" s="49">
        <v>19</v>
      </c>
      <c r="B127" s="49" t="s">
        <v>976</v>
      </c>
      <c r="C127" s="49" t="s">
        <v>227</v>
      </c>
      <c r="D127" s="49" t="s">
        <v>444</v>
      </c>
      <c r="E127" s="49" t="s">
        <v>235</v>
      </c>
      <c r="F127" s="49"/>
      <c r="G127" s="49" t="s">
        <v>86</v>
      </c>
      <c r="H127" s="50">
        <v>50</v>
      </c>
      <c r="I127" s="55">
        <v>30</v>
      </c>
      <c r="J127" s="49" t="s">
        <v>36</v>
      </c>
      <c r="K127" s="49" t="s">
        <v>37</v>
      </c>
    </row>
    <row r="128" spans="1:11" ht="15.75" customHeight="1">
      <c r="A128" s="49">
        <v>19</v>
      </c>
      <c r="B128" s="49" t="s">
        <v>977</v>
      </c>
      <c r="C128" s="49" t="s">
        <v>227</v>
      </c>
      <c r="D128" s="49" t="s">
        <v>375</v>
      </c>
      <c r="E128" s="49" t="s">
        <v>235</v>
      </c>
      <c r="F128" s="49"/>
      <c r="G128" s="49" t="s">
        <v>120</v>
      </c>
      <c r="H128" s="50">
        <v>10</v>
      </c>
      <c r="I128" s="55">
        <v>100</v>
      </c>
      <c r="J128" s="49" t="s">
        <v>36</v>
      </c>
      <c r="K128" s="49" t="s">
        <v>37</v>
      </c>
    </row>
    <row r="129" spans="1:11" ht="15.75" customHeight="1">
      <c r="A129" s="49">
        <v>19</v>
      </c>
      <c r="B129" s="49" t="s">
        <v>978</v>
      </c>
      <c r="C129" s="49" t="s">
        <v>227</v>
      </c>
      <c r="D129" s="49"/>
      <c r="E129" s="49"/>
      <c r="F129" s="49"/>
      <c r="G129" s="49" t="s">
        <v>35</v>
      </c>
      <c r="H129" s="50">
        <v>300</v>
      </c>
      <c r="I129" s="55">
        <v>75</v>
      </c>
      <c r="J129" s="49" t="s">
        <v>36</v>
      </c>
      <c r="K129" s="49" t="s">
        <v>37</v>
      </c>
    </row>
    <row r="130" spans="1:11" ht="15.75" customHeight="1">
      <c r="A130" s="49">
        <v>19</v>
      </c>
      <c r="B130" s="49" t="s">
        <v>979</v>
      </c>
      <c r="C130" s="49" t="s">
        <v>227</v>
      </c>
      <c r="D130" s="49" t="s">
        <v>980</v>
      </c>
      <c r="E130" s="49" t="s">
        <v>251</v>
      </c>
      <c r="F130" s="49"/>
      <c r="G130" s="49" t="s">
        <v>120</v>
      </c>
      <c r="H130" s="50">
        <v>100</v>
      </c>
      <c r="I130" s="55">
        <v>500</v>
      </c>
      <c r="J130" s="49" t="s">
        <v>36</v>
      </c>
      <c r="K130" s="49" t="s">
        <v>37</v>
      </c>
    </row>
    <row r="131" spans="1:11" ht="15.75" customHeight="1">
      <c r="A131" s="49">
        <v>19</v>
      </c>
      <c r="B131" s="49" t="s">
        <v>981</v>
      </c>
      <c r="C131" s="49" t="s">
        <v>246</v>
      </c>
      <c r="D131" s="49" t="s">
        <v>982</v>
      </c>
      <c r="E131" s="49" t="s">
        <v>983</v>
      </c>
      <c r="F131" s="49"/>
      <c r="G131" s="49" t="s">
        <v>35</v>
      </c>
      <c r="H131" s="50">
        <v>1000</v>
      </c>
      <c r="I131" s="55">
        <v>150</v>
      </c>
      <c r="J131" s="49" t="s">
        <v>36</v>
      </c>
      <c r="K131" s="49" t="s">
        <v>37</v>
      </c>
    </row>
    <row r="132" spans="1:11" ht="15.75" customHeight="1">
      <c r="A132" s="49">
        <v>19</v>
      </c>
      <c r="B132" s="49" t="s">
        <v>984</v>
      </c>
      <c r="C132" s="49" t="s">
        <v>227</v>
      </c>
      <c r="D132" s="49" t="s">
        <v>604</v>
      </c>
      <c r="E132" s="49" t="s">
        <v>235</v>
      </c>
      <c r="F132" s="49"/>
      <c r="G132" s="49" t="s">
        <v>35</v>
      </c>
      <c r="H132" s="50">
        <v>2900</v>
      </c>
      <c r="I132" s="55">
        <v>435</v>
      </c>
      <c r="J132" s="49" t="s">
        <v>36</v>
      </c>
      <c r="K132" s="49" t="s">
        <v>37</v>
      </c>
    </row>
    <row r="133" spans="1:11" ht="15.75" customHeight="1">
      <c r="A133" s="49">
        <v>19</v>
      </c>
      <c r="B133" s="49" t="s">
        <v>985</v>
      </c>
      <c r="C133" s="49" t="s">
        <v>227</v>
      </c>
      <c r="D133" s="49" t="s">
        <v>444</v>
      </c>
      <c r="E133" s="49" t="s">
        <v>235</v>
      </c>
      <c r="F133" s="49"/>
      <c r="G133" s="49" t="s">
        <v>120</v>
      </c>
      <c r="H133" s="50">
        <v>100</v>
      </c>
      <c r="I133" s="55">
        <v>500</v>
      </c>
      <c r="J133" s="49" t="s">
        <v>36</v>
      </c>
      <c r="K133" s="49" t="s">
        <v>37</v>
      </c>
    </row>
    <row r="134" spans="1:11" ht="15.75" customHeight="1">
      <c r="A134" s="49">
        <v>19</v>
      </c>
      <c r="B134" s="49" t="s">
        <v>985</v>
      </c>
      <c r="C134" s="49" t="s">
        <v>227</v>
      </c>
      <c r="D134" s="49" t="s">
        <v>444</v>
      </c>
      <c r="E134" s="49" t="s">
        <v>235</v>
      </c>
      <c r="F134" s="49"/>
      <c r="G134" s="49" t="s">
        <v>242</v>
      </c>
      <c r="H134" s="50">
        <v>40</v>
      </c>
      <c r="I134" s="55">
        <v>120</v>
      </c>
      <c r="J134" s="49" t="s">
        <v>36</v>
      </c>
      <c r="K134" s="49" t="s">
        <v>37</v>
      </c>
    </row>
    <row r="135" spans="1:11" ht="15.75" customHeight="1">
      <c r="A135" s="49">
        <v>19</v>
      </c>
      <c r="B135" s="49" t="s">
        <v>986</v>
      </c>
      <c r="C135" s="49" t="s">
        <v>227</v>
      </c>
      <c r="D135" s="49" t="s">
        <v>987</v>
      </c>
      <c r="E135" s="49" t="s">
        <v>251</v>
      </c>
      <c r="F135" s="49"/>
      <c r="G135" s="49" t="s">
        <v>120</v>
      </c>
      <c r="H135" s="50">
        <v>19</v>
      </c>
      <c r="I135" s="55">
        <v>190</v>
      </c>
      <c r="J135" s="49" t="s">
        <v>36</v>
      </c>
      <c r="K135" s="49" t="s">
        <v>37</v>
      </c>
    </row>
    <row r="136" spans="1:11" ht="15.75" customHeight="1">
      <c r="A136" s="49">
        <v>19</v>
      </c>
      <c r="B136" s="49" t="s">
        <v>839</v>
      </c>
      <c r="C136" s="49" t="s">
        <v>227</v>
      </c>
      <c r="D136" s="49" t="s">
        <v>988</v>
      </c>
      <c r="E136" s="49" t="s">
        <v>41</v>
      </c>
      <c r="F136" s="49"/>
      <c r="G136" s="49" t="s">
        <v>120</v>
      </c>
      <c r="H136" s="50">
        <v>40</v>
      </c>
      <c r="I136" s="55">
        <v>200</v>
      </c>
      <c r="J136" s="49" t="s">
        <v>36</v>
      </c>
      <c r="K136" s="49" t="s">
        <v>37</v>
      </c>
    </row>
    <row r="137" spans="1:11" ht="15.75" customHeight="1">
      <c r="A137" s="49">
        <v>20</v>
      </c>
      <c r="B137" s="49" t="s">
        <v>989</v>
      </c>
      <c r="C137" s="49" t="s">
        <v>227</v>
      </c>
      <c r="D137" s="49" t="s">
        <v>527</v>
      </c>
      <c r="E137" s="49" t="s">
        <v>251</v>
      </c>
      <c r="F137" s="49"/>
      <c r="G137" s="49" t="s">
        <v>35</v>
      </c>
      <c r="H137" s="50">
        <v>600</v>
      </c>
      <c r="I137" s="55">
        <v>150</v>
      </c>
      <c r="J137" s="49" t="s">
        <v>36</v>
      </c>
      <c r="K137" s="49" t="s">
        <v>37</v>
      </c>
    </row>
    <row r="138" spans="1:11" ht="15.75" customHeight="1">
      <c r="A138" s="49">
        <v>20</v>
      </c>
      <c r="B138" s="49" t="s">
        <v>989</v>
      </c>
      <c r="C138" s="49" t="s">
        <v>227</v>
      </c>
      <c r="D138" s="49" t="s">
        <v>527</v>
      </c>
      <c r="E138" s="49" t="s">
        <v>251</v>
      </c>
      <c r="F138" s="49"/>
      <c r="G138" s="49" t="s">
        <v>86</v>
      </c>
      <c r="H138" s="50">
        <v>1000</v>
      </c>
      <c r="I138" s="55">
        <v>600</v>
      </c>
      <c r="J138" s="49" t="s">
        <v>36</v>
      </c>
      <c r="K138" s="49" t="s">
        <v>37</v>
      </c>
    </row>
    <row r="139" spans="1:11" ht="15.75" customHeight="1">
      <c r="A139" s="49">
        <v>20</v>
      </c>
      <c r="B139" s="49" t="s">
        <v>989</v>
      </c>
      <c r="C139" s="49" t="s">
        <v>227</v>
      </c>
      <c r="D139" s="49" t="s">
        <v>527</v>
      </c>
      <c r="E139" s="49" t="s">
        <v>251</v>
      </c>
      <c r="F139" s="49"/>
      <c r="G139" s="49" t="s">
        <v>120</v>
      </c>
      <c r="H139" s="50">
        <v>50</v>
      </c>
      <c r="I139" s="55">
        <v>250</v>
      </c>
      <c r="J139" s="49" t="s">
        <v>36</v>
      </c>
      <c r="K139" s="49" t="s">
        <v>37</v>
      </c>
    </row>
    <row r="140" spans="1:11" ht="15.75" customHeight="1">
      <c r="A140" s="49">
        <v>20</v>
      </c>
      <c r="B140" s="49" t="s">
        <v>477</v>
      </c>
      <c r="C140" s="49" t="s">
        <v>246</v>
      </c>
      <c r="D140" s="49" t="s">
        <v>264</v>
      </c>
      <c r="E140" s="49" t="s">
        <v>184</v>
      </c>
      <c r="F140" s="49"/>
      <c r="G140" s="49" t="s">
        <v>35</v>
      </c>
      <c r="H140" s="50">
        <v>6000</v>
      </c>
      <c r="I140" s="55">
        <v>900</v>
      </c>
      <c r="J140" s="49" t="s">
        <v>36</v>
      </c>
      <c r="K140" s="49" t="s">
        <v>37</v>
      </c>
    </row>
    <row r="141" spans="1:11" ht="15.75" customHeight="1">
      <c r="A141" s="49">
        <v>20</v>
      </c>
      <c r="B141" s="49" t="s">
        <v>990</v>
      </c>
      <c r="C141" s="49" t="s">
        <v>227</v>
      </c>
      <c r="D141" s="49" t="s">
        <v>444</v>
      </c>
      <c r="E141" s="49" t="s">
        <v>235</v>
      </c>
      <c r="F141" s="49"/>
      <c r="G141" s="49" t="s">
        <v>120</v>
      </c>
      <c r="H141" s="50">
        <v>40</v>
      </c>
      <c r="I141" s="55">
        <v>200</v>
      </c>
      <c r="J141" s="49" t="s">
        <v>36</v>
      </c>
      <c r="K141" s="49" t="s">
        <v>37</v>
      </c>
    </row>
    <row r="142" spans="1:11" ht="15.75" customHeight="1">
      <c r="A142" s="49">
        <v>20</v>
      </c>
      <c r="B142" s="49" t="s">
        <v>876</v>
      </c>
      <c r="C142" s="49" t="s">
        <v>227</v>
      </c>
      <c r="D142" s="49" t="s">
        <v>527</v>
      </c>
      <c r="E142" s="49" t="s">
        <v>251</v>
      </c>
      <c r="F142" s="49"/>
      <c r="G142" s="49" t="s">
        <v>86</v>
      </c>
      <c r="H142" s="50">
        <v>3000</v>
      </c>
      <c r="I142" s="55">
        <v>1800</v>
      </c>
      <c r="J142" s="49" t="s">
        <v>36</v>
      </c>
      <c r="K142" s="49" t="s">
        <v>37</v>
      </c>
    </row>
    <row r="143" spans="1:11" ht="15.75" customHeight="1">
      <c r="A143" s="49">
        <v>20</v>
      </c>
      <c r="B143" s="49" t="s">
        <v>876</v>
      </c>
      <c r="C143" s="49" t="s">
        <v>227</v>
      </c>
      <c r="D143" s="49" t="s">
        <v>527</v>
      </c>
      <c r="E143" s="49" t="s">
        <v>251</v>
      </c>
      <c r="F143" s="49"/>
      <c r="G143" s="49" t="s">
        <v>120</v>
      </c>
      <c r="H143" s="50">
        <v>100</v>
      </c>
      <c r="I143" s="55">
        <v>500</v>
      </c>
      <c r="J143" s="49" t="s">
        <v>36</v>
      </c>
      <c r="K143" s="49" t="s">
        <v>37</v>
      </c>
    </row>
    <row r="144" spans="1:11" ht="15.75" customHeight="1">
      <c r="A144" s="49">
        <v>20</v>
      </c>
      <c r="B144" s="49" t="s">
        <v>991</v>
      </c>
      <c r="C144" s="49" t="s">
        <v>246</v>
      </c>
      <c r="D144" s="49" t="s">
        <v>900</v>
      </c>
      <c r="E144" s="49" t="s">
        <v>386</v>
      </c>
      <c r="F144" s="49"/>
      <c r="G144" s="49" t="s">
        <v>35</v>
      </c>
      <c r="H144" s="50">
        <v>1100</v>
      </c>
      <c r="I144" s="55">
        <v>165</v>
      </c>
      <c r="J144" s="49" t="s">
        <v>36</v>
      </c>
      <c r="K144" s="49" t="s">
        <v>37</v>
      </c>
    </row>
    <row r="145" spans="1:11" ht="15.75" customHeight="1">
      <c r="A145" s="49">
        <v>20</v>
      </c>
      <c r="B145" s="49" t="s">
        <v>992</v>
      </c>
      <c r="C145" s="49" t="s">
        <v>227</v>
      </c>
      <c r="D145" s="49" t="s">
        <v>682</v>
      </c>
      <c r="E145" s="49" t="s">
        <v>386</v>
      </c>
      <c r="F145" s="49"/>
      <c r="G145" s="49" t="s">
        <v>35</v>
      </c>
      <c r="H145" s="50">
        <v>1500</v>
      </c>
      <c r="I145" s="55">
        <v>225</v>
      </c>
      <c r="J145" s="49" t="s">
        <v>36</v>
      </c>
      <c r="K145" s="49" t="s">
        <v>37</v>
      </c>
    </row>
    <row r="146" spans="1:11" ht="15.75" customHeight="1">
      <c r="A146" s="49">
        <v>20</v>
      </c>
      <c r="B146" s="49" t="s">
        <v>992</v>
      </c>
      <c r="C146" s="49" t="s">
        <v>227</v>
      </c>
      <c r="D146" s="49" t="s">
        <v>682</v>
      </c>
      <c r="E146" s="49" t="s">
        <v>386</v>
      </c>
      <c r="F146" s="49"/>
      <c r="G146" s="49" t="s">
        <v>86</v>
      </c>
      <c r="H146" s="50">
        <v>200</v>
      </c>
      <c r="I146" s="55">
        <v>120</v>
      </c>
      <c r="J146" s="49" t="s">
        <v>36</v>
      </c>
      <c r="K146" s="49" t="s">
        <v>37</v>
      </c>
    </row>
    <row r="147" spans="1:11" ht="15.75" customHeight="1">
      <c r="A147" s="49">
        <v>20</v>
      </c>
      <c r="B147" s="49" t="s">
        <v>992</v>
      </c>
      <c r="C147" s="49" t="s">
        <v>227</v>
      </c>
      <c r="D147" s="49" t="s">
        <v>682</v>
      </c>
      <c r="E147" s="49" t="s">
        <v>386</v>
      </c>
      <c r="F147" s="49"/>
      <c r="G147" s="49" t="s">
        <v>120</v>
      </c>
      <c r="H147" s="50">
        <v>100</v>
      </c>
      <c r="I147" s="55">
        <v>500</v>
      </c>
      <c r="J147" s="49" t="s">
        <v>36</v>
      </c>
      <c r="K147" s="49" t="s">
        <v>37</v>
      </c>
    </row>
    <row r="148" spans="1:11" ht="15.75" customHeight="1">
      <c r="A148" s="49">
        <v>21</v>
      </c>
      <c r="B148" s="49" t="s">
        <v>993</v>
      </c>
      <c r="C148" s="49" t="s">
        <v>227</v>
      </c>
      <c r="D148" s="49" t="s">
        <v>640</v>
      </c>
      <c r="E148" s="49" t="s">
        <v>251</v>
      </c>
      <c r="F148" s="49"/>
      <c r="G148" s="49" t="s">
        <v>35</v>
      </c>
      <c r="H148" s="50">
        <v>60</v>
      </c>
      <c r="I148" s="55">
        <v>9</v>
      </c>
      <c r="J148" s="49" t="s">
        <v>36</v>
      </c>
      <c r="K148" s="49" t="s">
        <v>37</v>
      </c>
    </row>
    <row r="149" spans="1:11" ht="15.75" customHeight="1">
      <c r="A149" s="49">
        <v>21</v>
      </c>
      <c r="B149" s="49" t="s">
        <v>993</v>
      </c>
      <c r="C149" s="49" t="s">
        <v>227</v>
      </c>
      <c r="D149" s="49" t="s">
        <v>640</v>
      </c>
      <c r="E149" s="49" t="s">
        <v>251</v>
      </c>
      <c r="F149" s="49"/>
      <c r="G149" s="49" t="s">
        <v>86</v>
      </c>
      <c r="H149" s="50">
        <v>40</v>
      </c>
      <c r="I149" s="55">
        <v>24</v>
      </c>
      <c r="J149" s="49" t="s">
        <v>36</v>
      </c>
      <c r="K149" s="49" t="s">
        <v>37</v>
      </c>
    </row>
    <row r="150" spans="1:11" ht="15.75" customHeight="1">
      <c r="A150" s="49">
        <v>21</v>
      </c>
      <c r="B150" s="49" t="s">
        <v>993</v>
      </c>
      <c r="C150" s="49" t="s">
        <v>227</v>
      </c>
      <c r="D150" s="49" t="s">
        <v>640</v>
      </c>
      <c r="E150" s="49" t="s">
        <v>251</v>
      </c>
      <c r="F150" s="49"/>
      <c r="G150" s="49" t="s">
        <v>120</v>
      </c>
      <c r="H150" s="50">
        <v>10</v>
      </c>
      <c r="I150" s="55">
        <v>50</v>
      </c>
      <c r="J150" s="49" t="s">
        <v>36</v>
      </c>
      <c r="K150" s="49" t="s">
        <v>37</v>
      </c>
    </row>
    <row r="151" spans="1:11" ht="15.75" customHeight="1">
      <c r="A151" s="49">
        <v>21</v>
      </c>
      <c r="B151" s="49" t="s">
        <v>994</v>
      </c>
      <c r="C151" s="49" t="s">
        <v>227</v>
      </c>
      <c r="D151" s="49" t="s">
        <v>292</v>
      </c>
      <c r="E151" s="49" t="s">
        <v>235</v>
      </c>
      <c r="F151" s="49"/>
      <c r="G151" s="49" t="s">
        <v>35</v>
      </c>
      <c r="H151" s="50">
        <v>5000</v>
      </c>
      <c r="I151" s="55">
        <v>750</v>
      </c>
      <c r="J151" s="49" t="s">
        <v>36</v>
      </c>
      <c r="K151" s="49" t="s">
        <v>37</v>
      </c>
    </row>
    <row r="152" spans="1:11" ht="15.75" customHeight="1">
      <c r="A152" s="49"/>
      <c r="B152" s="49"/>
      <c r="C152" s="49"/>
      <c r="D152" s="49"/>
      <c r="E152" s="49"/>
      <c r="F152" s="49"/>
      <c r="G152" s="49"/>
      <c r="H152" s="50"/>
      <c r="I152" s="55"/>
      <c r="J152" s="49"/>
      <c r="K152" s="49"/>
    </row>
    <row r="153" spans="1:11" ht="15.75" customHeight="1">
      <c r="A153" s="49"/>
      <c r="B153" s="49"/>
      <c r="C153" s="49"/>
      <c r="D153" s="49"/>
      <c r="E153" s="49"/>
      <c r="F153" s="49"/>
      <c r="G153" s="49"/>
      <c r="H153" s="50"/>
      <c r="I153" s="55"/>
      <c r="J153" s="49"/>
      <c r="K153" s="49"/>
    </row>
    <row r="154" spans="1:11" ht="15.75" customHeight="1">
      <c r="A154" s="49"/>
      <c r="B154" s="49"/>
      <c r="C154" s="49"/>
      <c r="D154" s="49"/>
      <c r="E154" s="49"/>
      <c r="F154" s="49"/>
      <c r="G154" s="49"/>
      <c r="H154" s="50"/>
      <c r="I154" s="55"/>
      <c r="J154" s="49"/>
      <c r="K154" s="49"/>
    </row>
    <row r="155" spans="1:11" ht="15.75" customHeight="1">
      <c r="A155" s="49"/>
      <c r="B155" s="49"/>
      <c r="C155" s="49"/>
      <c r="D155" s="49"/>
      <c r="E155" s="49"/>
      <c r="F155" s="49"/>
      <c r="G155" s="49"/>
      <c r="H155" s="50"/>
      <c r="I155" s="55"/>
      <c r="J155" s="49"/>
      <c r="K155" s="49"/>
    </row>
    <row r="156" spans="1:11" ht="15.75" customHeight="1"/>
    <row r="157" spans="1:11" ht="15.75" customHeight="1"/>
    <row r="158" spans="1:11" ht="15.75" customHeight="1">
      <c r="J158" s="60" t="s">
        <v>53</v>
      </c>
    </row>
    <row r="159" spans="1:11" ht="15.75" customHeight="1">
      <c r="B159" s="61" t="s">
        <v>55</v>
      </c>
      <c r="E159" s="61" t="s">
        <v>56</v>
      </c>
      <c r="J159" s="60" t="s">
        <v>995</v>
      </c>
    </row>
    <row r="160" spans="1:11" ht="15.75" customHeight="1">
      <c r="J160" s="60" t="s">
        <v>996</v>
      </c>
    </row>
    <row r="161" spans="2:10" ht="15.75" customHeight="1">
      <c r="J161" s="60" t="s">
        <v>997</v>
      </c>
    </row>
    <row r="162" spans="2:10" ht="15.75" customHeight="1">
      <c r="B162" s="65" t="s">
        <v>109</v>
      </c>
      <c r="E162" s="65" t="s">
        <v>61</v>
      </c>
      <c r="F162" s="65"/>
      <c r="G162" s="62"/>
      <c r="J162" s="60" t="s">
        <v>998</v>
      </c>
    </row>
    <row r="163" spans="2:10" ht="15.75" customHeight="1">
      <c r="B163" s="61" t="s">
        <v>110</v>
      </c>
      <c r="E163" s="61" t="s">
        <v>999</v>
      </c>
      <c r="J163" s="60" t="s">
        <v>1000</v>
      </c>
    </row>
    <row r="164" spans="2:10" ht="15.75" customHeight="1">
      <c r="J164" s="60" t="s">
        <v>1001</v>
      </c>
    </row>
    <row r="165" spans="2:10" ht="15.75" customHeight="1">
      <c r="J165" s="60" t="s">
        <v>66</v>
      </c>
    </row>
    <row r="166" spans="2:10" ht="15.75" customHeight="1">
      <c r="J166" s="60" t="s">
        <v>1002</v>
      </c>
    </row>
    <row r="167" spans="2:10" ht="15.75" customHeight="1">
      <c r="J167" s="60" t="s">
        <v>1003</v>
      </c>
    </row>
    <row r="168" spans="2:10" ht="15.75" customHeight="1"/>
    <row r="169" spans="2:10" ht="15.75" customHeight="1"/>
    <row r="170" spans="2:10" ht="15.75" customHeight="1"/>
    <row r="171" spans="2:10" ht="15.75" customHeight="1"/>
    <row r="172" spans="2:10" ht="15.75" customHeight="1"/>
    <row r="173" spans="2:10" ht="15.75" customHeight="1"/>
    <row r="174" spans="2:10" ht="15.75" customHeight="1"/>
    <row r="175" spans="2:10" ht="15.75" customHeight="1"/>
    <row r="176" spans="2:10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" right="0.7" top="0.75" bottom="0.75" header="0" footer="0"/>
  <pageSetup paperSize="5" scale="9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000"/>
  <sheetViews>
    <sheetView workbookViewId="0"/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2" spans="1:11" ht="23.25">
      <c r="A2" s="240" t="s">
        <v>0</v>
      </c>
      <c r="B2" s="241"/>
      <c r="C2" s="241"/>
      <c r="D2" s="241"/>
      <c r="E2" s="241"/>
      <c r="F2" s="241"/>
      <c r="G2" s="241"/>
      <c r="H2" s="241"/>
      <c r="I2" s="241"/>
      <c r="J2" s="69"/>
    </row>
    <row r="3" spans="1:11" ht="18">
      <c r="A3" s="2"/>
      <c r="B3" s="3"/>
      <c r="C3" s="242" t="s">
        <v>1004</v>
      </c>
      <c r="D3" s="241"/>
      <c r="E3" s="241"/>
      <c r="F3" s="241"/>
      <c r="G3" s="241"/>
      <c r="H3" s="70"/>
      <c r="I3" s="71"/>
      <c r="J3" s="72"/>
      <c r="K3" s="6"/>
    </row>
    <row r="4" spans="1:11">
      <c r="A4" s="2"/>
      <c r="B4" s="3"/>
      <c r="C4" s="73"/>
      <c r="D4" s="3"/>
      <c r="E4" s="3"/>
      <c r="G4" s="73"/>
      <c r="H4" s="70"/>
      <c r="I4" s="71"/>
      <c r="J4" s="8" t="s">
        <v>1005</v>
      </c>
      <c r="K4" s="74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1006</v>
      </c>
      <c r="K5" s="76"/>
    </row>
    <row r="6" spans="1:11">
      <c r="A6" s="2"/>
      <c r="B6" s="3"/>
      <c r="C6" s="73"/>
      <c r="D6" s="3"/>
      <c r="E6" s="3"/>
      <c r="G6" s="73"/>
      <c r="H6" s="70"/>
      <c r="I6" s="75"/>
      <c r="J6" s="69" t="s">
        <v>1007</v>
      </c>
      <c r="K6" s="76"/>
    </row>
    <row r="7" spans="1:11">
      <c r="A7" s="77" t="s">
        <v>218</v>
      </c>
      <c r="B7" s="13"/>
      <c r="C7" s="73"/>
      <c r="D7" s="3"/>
      <c r="E7" s="15"/>
      <c r="F7" s="1"/>
      <c r="G7" s="73"/>
      <c r="H7" s="70"/>
      <c r="I7" s="71"/>
      <c r="J7" s="16" t="s">
        <v>1008</v>
      </c>
      <c r="K7" s="78"/>
    </row>
    <row r="8" spans="1:11">
      <c r="A8" s="18"/>
      <c r="B8" s="19"/>
      <c r="C8" s="79"/>
      <c r="D8" s="21"/>
      <c r="E8" s="21"/>
      <c r="F8" s="243" t="s">
        <v>220</v>
      </c>
      <c r="G8" s="257"/>
      <c r="H8" s="244"/>
      <c r="I8" s="80"/>
      <c r="J8" s="245" t="s">
        <v>11</v>
      </c>
      <c r="K8" s="246"/>
    </row>
    <row r="9" spans="1:11">
      <c r="A9" s="247" t="s">
        <v>221</v>
      </c>
      <c r="B9" s="248"/>
      <c r="C9" s="81" t="s">
        <v>222</v>
      </c>
      <c r="D9" s="24" t="s">
        <v>14</v>
      </c>
      <c r="E9" s="25" t="s">
        <v>15</v>
      </c>
      <c r="F9" s="82" t="s">
        <v>223</v>
      </c>
      <c r="G9" s="83"/>
      <c r="H9" s="84" t="s">
        <v>18</v>
      </c>
      <c r="I9" s="29" t="s">
        <v>19</v>
      </c>
      <c r="J9" s="85"/>
      <c r="K9" s="30"/>
    </row>
    <row r="10" spans="1:11">
      <c r="A10" s="31"/>
      <c r="B10" s="32"/>
      <c r="C10" s="83"/>
      <c r="D10" s="33"/>
      <c r="E10" s="32"/>
      <c r="F10" s="86" t="s">
        <v>224</v>
      </c>
      <c r="G10" s="81" t="s">
        <v>23</v>
      </c>
      <c r="H10" s="84" t="s">
        <v>24</v>
      </c>
      <c r="I10" s="87"/>
      <c r="J10" s="24" t="s">
        <v>25</v>
      </c>
      <c r="K10" s="24" t="s">
        <v>26</v>
      </c>
    </row>
    <row r="11" spans="1:11">
      <c r="A11" s="36"/>
      <c r="B11" s="37"/>
      <c r="C11" s="88"/>
      <c r="D11" s="39"/>
      <c r="E11" s="39"/>
      <c r="F11" s="45"/>
      <c r="G11" s="89"/>
      <c r="H11" s="90" t="s">
        <v>225</v>
      </c>
      <c r="I11" s="91"/>
      <c r="J11" s="45"/>
      <c r="K11" s="41" t="s">
        <v>29</v>
      </c>
    </row>
    <row r="12" spans="1:11">
      <c r="A12" s="92" t="s">
        <v>30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</row>
    <row r="13" spans="1:11">
      <c r="A13" s="92">
        <v>1</v>
      </c>
      <c r="B13" s="49" t="s">
        <v>461</v>
      </c>
      <c r="C13" s="49" t="s">
        <v>227</v>
      </c>
      <c r="D13" s="49" t="s">
        <v>288</v>
      </c>
      <c r="E13" s="49" t="s">
        <v>462</v>
      </c>
      <c r="F13" s="49"/>
      <c r="G13" s="49" t="s">
        <v>35</v>
      </c>
      <c r="H13" s="50">
        <v>10000</v>
      </c>
      <c r="I13" s="94">
        <v>1500</v>
      </c>
      <c r="J13" s="49" t="s">
        <v>36</v>
      </c>
      <c r="K13" s="49" t="s">
        <v>37</v>
      </c>
    </row>
    <row r="14" spans="1:11">
      <c r="A14" s="92">
        <v>1</v>
      </c>
      <c r="B14" s="49" t="s">
        <v>1009</v>
      </c>
      <c r="C14" s="49" t="s">
        <v>227</v>
      </c>
      <c r="D14" s="49" t="s">
        <v>1010</v>
      </c>
      <c r="E14" s="49" t="s">
        <v>48</v>
      </c>
      <c r="F14" s="49"/>
      <c r="G14" s="49" t="s">
        <v>35</v>
      </c>
      <c r="H14" s="50">
        <v>1000</v>
      </c>
      <c r="I14" s="94">
        <v>150</v>
      </c>
      <c r="J14" s="49" t="s">
        <v>36</v>
      </c>
      <c r="K14" s="49" t="s">
        <v>37</v>
      </c>
    </row>
    <row r="15" spans="1:11">
      <c r="A15" s="92">
        <v>1</v>
      </c>
      <c r="B15" s="49" t="s">
        <v>1011</v>
      </c>
      <c r="C15" s="49" t="s">
        <v>227</v>
      </c>
      <c r="D15" s="49" t="s">
        <v>385</v>
      </c>
      <c r="E15" s="49" t="s">
        <v>232</v>
      </c>
      <c r="F15" s="49"/>
      <c r="G15" s="49" t="s">
        <v>35</v>
      </c>
      <c r="H15" s="49">
        <v>500</v>
      </c>
      <c r="I15" s="94"/>
      <c r="J15" s="49" t="s">
        <v>43</v>
      </c>
      <c r="K15" s="49" t="s">
        <v>37</v>
      </c>
    </row>
    <row r="16" spans="1:11">
      <c r="A16" s="92">
        <v>1</v>
      </c>
      <c r="B16" s="49" t="s">
        <v>966</v>
      </c>
      <c r="C16" s="49" t="s">
        <v>246</v>
      </c>
      <c r="D16" s="49" t="s">
        <v>444</v>
      </c>
      <c r="E16" s="49" t="s">
        <v>235</v>
      </c>
      <c r="F16" s="49"/>
      <c r="G16" s="49" t="s">
        <v>120</v>
      </c>
      <c r="H16" s="49">
        <v>60</v>
      </c>
      <c r="I16" s="94">
        <v>300</v>
      </c>
      <c r="J16" s="49" t="s">
        <v>36</v>
      </c>
      <c r="K16" s="49" t="s">
        <v>536</v>
      </c>
    </row>
    <row r="17" spans="1:11">
      <c r="A17" s="92">
        <v>1</v>
      </c>
      <c r="B17" s="49" t="s">
        <v>1012</v>
      </c>
      <c r="C17" s="49" t="s">
        <v>227</v>
      </c>
      <c r="D17" s="49" t="s">
        <v>290</v>
      </c>
      <c r="E17" s="49" t="s">
        <v>232</v>
      </c>
      <c r="F17" s="49"/>
      <c r="G17" s="49" t="s">
        <v>86</v>
      </c>
      <c r="H17" s="49">
        <v>700</v>
      </c>
      <c r="I17" s="94">
        <v>420</v>
      </c>
      <c r="J17" s="49" t="s">
        <v>36</v>
      </c>
      <c r="K17" s="49" t="s">
        <v>37</v>
      </c>
    </row>
    <row r="18" spans="1:11">
      <c r="A18" s="92">
        <v>1</v>
      </c>
      <c r="B18" s="49" t="s">
        <v>1013</v>
      </c>
      <c r="C18" s="49" t="s">
        <v>246</v>
      </c>
      <c r="D18" s="49" t="s">
        <v>527</v>
      </c>
      <c r="E18" s="49" t="s">
        <v>199</v>
      </c>
      <c r="F18" s="49"/>
      <c r="G18" s="49" t="s">
        <v>120</v>
      </c>
      <c r="H18" s="49">
        <v>50</v>
      </c>
      <c r="I18" s="94">
        <v>250</v>
      </c>
      <c r="J18" s="49" t="s">
        <v>36</v>
      </c>
      <c r="K18" s="49" t="s">
        <v>37</v>
      </c>
    </row>
    <row r="19" spans="1:11">
      <c r="A19" s="92">
        <v>1</v>
      </c>
      <c r="B19" s="49" t="s">
        <v>1014</v>
      </c>
      <c r="C19" s="49" t="s">
        <v>227</v>
      </c>
      <c r="D19" s="49" t="s">
        <v>32</v>
      </c>
      <c r="E19" s="49" t="s">
        <v>307</v>
      </c>
      <c r="F19" s="49"/>
      <c r="G19" s="49" t="s">
        <v>120</v>
      </c>
      <c r="H19" s="49">
        <v>220</v>
      </c>
      <c r="I19" s="94">
        <v>2200</v>
      </c>
      <c r="J19" s="49" t="s">
        <v>36</v>
      </c>
      <c r="K19" s="49" t="s">
        <v>37</v>
      </c>
    </row>
    <row r="20" spans="1:11">
      <c r="A20" s="92">
        <v>1</v>
      </c>
      <c r="B20" s="49" t="s">
        <v>1015</v>
      </c>
      <c r="C20" s="49" t="s">
        <v>227</v>
      </c>
      <c r="D20" s="49" t="s">
        <v>611</v>
      </c>
      <c r="E20" s="49" t="s">
        <v>48</v>
      </c>
      <c r="F20" s="49"/>
      <c r="G20" s="49" t="s">
        <v>35</v>
      </c>
      <c r="H20" s="50">
        <v>1000</v>
      </c>
      <c r="I20" s="94">
        <v>150</v>
      </c>
      <c r="J20" s="49" t="s">
        <v>36</v>
      </c>
      <c r="K20" s="49" t="s">
        <v>37</v>
      </c>
    </row>
    <row r="21" spans="1:11" ht="15.75" customHeight="1">
      <c r="A21" s="92">
        <v>1</v>
      </c>
      <c r="B21" s="49" t="s">
        <v>1016</v>
      </c>
      <c r="C21" s="49" t="s">
        <v>227</v>
      </c>
      <c r="D21" s="49" t="s">
        <v>743</v>
      </c>
      <c r="E21" s="49" t="s">
        <v>48</v>
      </c>
      <c r="F21" s="49"/>
      <c r="G21" s="49" t="s">
        <v>35</v>
      </c>
      <c r="H21" s="50">
        <v>1000</v>
      </c>
      <c r="I21" s="94">
        <v>150</v>
      </c>
      <c r="J21" s="49" t="s">
        <v>36</v>
      </c>
      <c r="K21" s="49" t="s">
        <v>37</v>
      </c>
    </row>
    <row r="22" spans="1:11" ht="15.75" customHeight="1">
      <c r="A22" s="92">
        <v>1</v>
      </c>
      <c r="B22" s="49" t="s">
        <v>1017</v>
      </c>
      <c r="C22" s="49" t="s">
        <v>227</v>
      </c>
      <c r="D22" s="49" t="s">
        <v>1010</v>
      </c>
      <c r="E22" s="49" t="s">
        <v>48</v>
      </c>
      <c r="F22" s="49"/>
      <c r="G22" s="49" t="s">
        <v>35</v>
      </c>
      <c r="H22" s="49">
        <v>300</v>
      </c>
      <c r="I22" s="94">
        <v>45</v>
      </c>
      <c r="J22" s="49" t="s">
        <v>36</v>
      </c>
      <c r="K22" s="49" t="s">
        <v>37</v>
      </c>
    </row>
    <row r="23" spans="1:11" ht="15.75" customHeight="1">
      <c r="A23" s="92">
        <v>1</v>
      </c>
      <c r="B23" s="49" t="s">
        <v>233</v>
      </c>
      <c r="C23" s="49" t="s">
        <v>227</v>
      </c>
      <c r="D23" s="49" t="s">
        <v>234</v>
      </c>
      <c r="E23" s="49" t="s">
        <v>235</v>
      </c>
      <c r="F23" s="49"/>
      <c r="G23" s="49" t="s">
        <v>35</v>
      </c>
      <c r="H23" s="50">
        <v>3300</v>
      </c>
      <c r="I23" s="94">
        <v>495</v>
      </c>
      <c r="J23" s="49" t="s">
        <v>36</v>
      </c>
      <c r="K23" s="49" t="s">
        <v>37</v>
      </c>
    </row>
    <row r="24" spans="1:11" ht="15.75" customHeight="1">
      <c r="A24" s="92">
        <v>1</v>
      </c>
      <c r="B24" s="49" t="s">
        <v>1018</v>
      </c>
      <c r="C24" s="49" t="s">
        <v>227</v>
      </c>
      <c r="D24" s="49" t="s">
        <v>239</v>
      </c>
      <c r="E24" s="49" t="s">
        <v>232</v>
      </c>
      <c r="F24" s="49"/>
      <c r="G24" s="49" t="s">
        <v>120</v>
      </c>
      <c r="H24" s="49">
        <v>20</v>
      </c>
      <c r="I24" s="94">
        <v>100</v>
      </c>
      <c r="J24" s="49" t="s">
        <v>36</v>
      </c>
      <c r="K24" s="49" t="s">
        <v>37</v>
      </c>
    </row>
    <row r="25" spans="1:11" ht="15.75" customHeight="1">
      <c r="A25" s="92">
        <v>1</v>
      </c>
      <c r="B25" s="49" t="s">
        <v>883</v>
      </c>
      <c r="C25" s="49" t="s">
        <v>227</v>
      </c>
      <c r="D25" s="49" t="s">
        <v>32</v>
      </c>
      <c r="E25" s="49" t="s">
        <v>307</v>
      </c>
      <c r="F25" s="49"/>
      <c r="G25" s="49" t="s">
        <v>120</v>
      </c>
      <c r="H25" s="49">
        <v>200</v>
      </c>
      <c r="I25" s="94">
        <v>1000</v>
      </c>
      <c r="J25" s="49" t="s">
        <v>36</v>
      </c>
      <c r="K25" s="49" t="s">
        <v>37</v>
      </c>
    </row>
    <row r="26" spans="1:11" ht="15.75" customHeight="1">
      <c r="A26" s="92">
        <v>1</v>
      </c>
      <c r="B26" s="49" t="s">
        <v>419</v>
      </c>
      <c r="C26" s="49" t="s">
        <v>227</v>
      </c>
      <c r="D26" s="49" t="s">
        <v>409</v>
      </c>
      <c r="E26" s="49" t="s">
        <v>235</v>
      </c>
      <c r="F26" s="49"/>
      <c r="G26" s="49" t="s">
        <v>35</v>
      </c>
      <c r="H26" s="49">
        <v>60</v>
      </c>
      <c r="I26" s="94">
        <v>9</v>
      </c>
      <c r="J26" s="49" t="s">
        <v>36</v>
      </c>
      <c r="K26" s="49" t="s">
        <v>37</v>
      </c>
    </row>
    <row r="27" spans="1:11" ht="15.75" customHeight="1">
      <c r="A27" s="92">
        <v>1</v>
      </c>
      <c r="B27" s="49" t="s">
        <v>419</v>
      </c>
      <c r="C27" s="49" t="s">
        <v>227</v>
      </c>
      <c r="D27" s="49" t="s">
        <v>409</v>
      </c>
      <c r="E27" s="49" t="s">
        <v>235</v>
      </c>
      <c r="F27" s="49"/>
      <c r="G27" s="49" t="s">
        <v>120</v>
      </c>
      <c r="H27" s="49">
        <v>5</v>
      </c>
      <c r="I27" s="94">
        <v>50</v>
      </c>
      <c r="J27" s="49" t="s">
        <v>36</v>
      </c>
      <c r="K27" s="49" t="s">
        <v>37</v>
      </c>
    </row>
    <row r="28" spans="1:11" ht="15.75" customHeight="1">
      <c r="A28" s="92">
        <v>1</v>
      </c>
      <c r="B28" s="49" t="s">
        <v>1019</v>
      </c>
      <c r="C28" s="49" t="s">
        <v>246</v>
      </c>
      <c r="D28" s="49" t="s">
        <v>1020</v>
      </c>
      <c r="E28" s="49" t="s">
        <v>75</v>
      </c>
      <c r="F28" s="49"/>
      <c r="G28" s="49" t="s">
        <v>35</v>
      </c>
      <c r="H28" s="50">
        <v>8000</v>
      </c>
      <c r="I28" s="94"/>
      <c r="J28" s="49" t="s">
        <v>43</v>
      </c>
      <c r="K28" s="49" t="s">
        <v>37</v>
      </c>
    </row>
    <row r="29" spans="1:11" ht="15.75" customHeight="1">
      <c r="A29" s="92">
        <v>1</v>
      </c>
      <c r="B29" s="49" t="s">
        <v>1021</v>
      </c>
      <c r="C29" s="49" t="s">
        <v>246</v>
      </c>
      <c r="D29" s="49" t="s">
        <v>1020</v>
      </c>
      <c r="E29" s="49" t="s">
        <v>75</v>
      </c>
      <c r="F29" s="49"/>
      <c r="G29" s="49" t="s">
        <v>120</v>
      </c>
      <c r="H29" s="49">
        <v>125</v>
      </c>
      <c r="I29" s="94">
        <v>1250</v>
      </c>
      <c r="J29" s="49" t="s">
        <v>36</v>
      </c>
      <c r="K29" s="49" t="s">
        <v>536</v>
      </c>
    </row>
    <row r="30" spans="1:11" ht="15.75" customHeight="1">
      <c r="A30" s="92">
        <v>1</v>
      </c>
      <c r="B30" s="49" t="s">
        <v>1022</v>
      </c>
      <c r="C30" s="49" t="s">
        <v>227</v>
      </c>
      <c r="D30" s="49" t="s">
        <v>352</v>
      </c>
      <c r="E30" s="49" t="s">
        <v>307</v>
      </c>
      <c r="F30" s="49"/>
      <c r="G30" s="49" t="s">
        <v>35</v>
      </c>
      <c r="H30" s="49">
        <v>200</v>
      </c>
      <c r="I30" s="94">
        <v>30</v>
      </c>
      <c r="J30" s="49" t="s">
        <v>36</v>
      </c>
      <c r="K30" s="49" t="s">
        <v>37</v>
      </c>
    </row>
    <row r="31" spans="1:11" ht="15.75" customHeight="1">
      <c r="A31" s="92">
        <v>1</v>
      </c>
      <c r="B31" s="49" t="s">
        <v>1023</v>
      </c>
      <c r="C31" s="49" t="s">
        <v>227</v>
      </c>
      <c r="D31" s="49" t="s">
        <v>32</v>
      </c>
      <c r="E31" s="49" t="s">
        <v>235</v>
      </c>
      <c r="F31" s="49"/>
      <c r="G31" s="49" t="s">
        <v>35</v>
      </c>
      <c r="H31" s="50">
        <v>1000</v>
      </c>
      <c r="I31" s="94">
        <v>150</v>
      </c>
      <c r="J31" s="49" t="s">
        <v>36</v>
      </c>
      <c r="K31" s="49" t="s">
        <v>37</v>
      </c>
    </row>
    <row r="32" spans="1:11" ht="15.75" customHeight="1">
      <c r="A32" s="92">
        <v>1</v>
      </c>
      <c r="B32" s="49" t="s">
        <v>595</v>
      </c>
      <c r="C32" s="49" t="s">
        <v>227</v>
      </c>
      <c r="D32" s="49" t="s">
        <v>1024</v>
      </c>
      <c r="E32" s="49" t="s">
        <v>75</v>
      </c>
      <c r="F32" s="49"/>
      <c r="G32" s="49" t="s">
        <v>120</v>
      </c>
      <c r="H32" s="49">
        <v>50</v>
      </c>
      <c r="I32" s="94">
        <v>250</v>
      </c>
      <c r="J32" s="49" t="s">
        <v>36</v>
      </c>
      <c r="K32" s="49" t="s">
        <v>37</v>
      </c>
    </row>
    <row r="33" spans="1:11" ht="15.75" customHeight="1">
      <c r="A33" s="92">
        <v>1</v>
      </c>
      <c r="B33" s="49" t="s">
        <v>1025</v>
      </c>
      <c r="C33" s="49" t="s">
        <v>246</v>
      </c>
      <c r="D33" s="49" t="s">
        <v>40</v>
      </c>
      <c r="E33" s="49" t="s">
        <v>232</v>
      </c>
      <c r="F33" s="49"/>
      <c r="G33" s="49" t="s">
        <v>35</v>
      </c>
      <c r="H33" s="49">
        <v>500</v>
      </c>
      <c r="I33" s="94"/>
      <c r="J33" s="49" t="s">
        <v>43</v>
      </c>
      <c r="K33" s="49" t="s">
        <v>37</v>
      </c>
    </row>
    <row r="34" spans="1:11" ht="15.75" customHeight="1">
      <c r="A34" s="92">
        <v>1</v>
      </c>
      <c r="B34" s="49" t="s">
        <v>1025</v>
      </c>
      <c r="C34" s="49" t="s">
        <v>246</v>
      </c>
      <c r="D34" s="49" t="s">
        <v>40</v>
      </c>
      <c r="E34" s="49" t="s">
        <v>232</v>
      </c>
      <c r="F34" s="49"/>
      <c r="G34" s="49" t="s">
        <v>86</v>
      </c>
      <c r="H34" s="49">
        <v>500</v>
      </c>
      <c r="I34" s="94">
        <v>300</v>
      </c>
      <c r="J34" s="49" t="s">
        <v>36</v>
      </c>
      <c r="K34" s="49" t="s">
        <v>536</v>
      </c>
    </row>
    <row r="35" spans="1:11" ht="15.75" customHeight="1">
      <c r="A35" s="92">
        <v>1</v>
      </c>
      <c r="B35" s="49" t="s">
        <v>1025</v>
      </c>
      <c r="C35" s="49" t="s">
        <v>246</v>
      </c>
      <c r="D35" s="49" t="s">
        <v>40</v>
      </c>
      <c r="E35" s="49" t="s">
        <v>232</v>
      </c>
      <c r="F35" s="49"/>
      <c r="G35" s="49" t="s">
        <v>120</v>
      </c>
      <c r="H35" s="49">
        <v>10</v>
      </c>
      <c r="I35" s="94">
        <v>50</v>
      </c>
      <c r="J35" s="49" t="s">
        <v>36</v>
      </c>
      <c r="K35" s="49" t="s">
        <v>37</v>
      </c>
    </row>
    <row r="36" spans="1:11" ht="15.75" customHeight="1">
      <c r="A36" s="92">
        <v>1</v>
      </c>
      <c r="B36" s="49" t="s">
        <v>1026</v>
      </c>
      <c r="C36" s="49" t="s">
        <v>227</v>
      </c>
      <c r="D36" s="49" t="s">
        <v>444</v>
      </c>
      <c r="E36" s="49" t="s">
        <v>235</v>
      </c>
      <c r="F36" s="49"/>
      <c r="G36" s="49" t="s">
        <v>120</v>
      </c>
      <c r="H36" s="49">
        <v>40</v>
      </c>
      <c r="I36" s="94">
        <v>200</v>
      </c>
      <c r="J36" s="49" t="s">
        <v>36</v>
      </c>
      <c r="K36" s="49" t="s">
        <v>37</v>
      </c>
    </row>
    <row r="37" spans="1:11" ht="15.75" customHeight="1">
      <c r="A37" s="92">
        <v>1</v>
      </c>
      <c r="B37" s="49" t="s">
        <v>1027</v>
      </c>
      <c r="C37" s="49" t="s">
        <v>227</v>
      </c>
      <c r="D37" s="49" t="s">
        <v>772</v>
      </c>
      <c r="E37" s="49" t="s">
        <v>232</v>
      </c>
      <c r="F37" s="49"/>
      <c r="G37" s="49" t="s">
        <v>35</v>
      </c>
      <c r="H37" s="49">
        <v>500</v>
      </c>
      <c r="I37" s="94">
        <v>75</v>
      </c>
      <c r="J37" s="49" t="s">
        <v>36</v>
      </c>
      <c r="K37" s="49" t="s">
        <v>37</v>
      </c>
    </row>
    <row r="38" spans="1:11" ht="15.75" customHeight="1">
      <c r="A38" s="92">
        <v>1</v>
      </c>
      <c r="B38" s="49" t="s">
        <v>1027</v>
      </c>
      <c r="C38" s="49" t="s">
        <v>227</v>
      </c>
      <c r="D38" s="49" t="s">
        <v>772</v>
      </c>
      <c r="E38" s="49" t="s">
        <v>232</v>
      </c>
      <c r="F38" s="49"/>
      <c r="G38" s="49" t="s">
        <v>86</v>
      </c>
      <c r="H38" s="49">
        <v>200</v>
      </c>
      <c r="I38" s="94">
        <v>120</v>
      </c>
      <c r="J38" s="49" t="s">
        <v>36</v>
      </c>
      <c r="K38" s="49" t="s">
        <v>37</v>
      </c>
    </row>
    <row r="39" spans="1:11" ht="15.75" customHeight="1">
      <c r="A39" s="92">
        <v>1</v>
      </c>
      <c r="B39" s="49" t="s">
        <v>1028</v>
      </c>
      <c r="C39" s="49" t="s">
        <v>227</v>
      </c>
      <c r="D39" s="49" t="s">
        <v>288</v>
      </c>
      <c r="E39" s="49" t="s">
        <v>184</v>
      </c>
      <c r="F39" s="49"/>
      <c r="G39" s="49" t="s">
        <v>35</v>
      </c>
      <c r="H39" s="50">
        <v>1000</v>
      </c>
      <c r="I39" s="94">
        <v>150</v>
      </c>
      <c r="J39" s="49" t="s">
        <v>36</v>
      </c>
      <c r="K39" s="49" t="s">
        <v>37</v>
      </c>
    </row>
    <row r="40" spans="1:11" ht="15.75" customHeight="1">
      <c r="A40" s="92">
        <v>1</v>
      </c>
      <c r="B40" s="49" t="s">
        <v>731</v>
      </c>
      <c r="C40" s="49" t="s">
        <v>227</v>
      </c>
      <c r="D40" s="49" t="s">
        <v>607</v>
      </c>
      <c r="E40" s="49" t="s">
        <v>235</v>
      </c>
      <c r="F40" s="49"/>
      <c r="G40" s="49" t="s">
        <v>120</v>
      </c>
      <c r="H40" s="49">
        <v>15</v>
      </c>
      <c r="I40" s="94">
        <v>75</v>
      </c>
      <c r="J40" s="49" t="s">
        <v>36</v>
      </c>
      <c r="K40" s="49" t="s">
        <v>37</v>
      </c>
    </row>
    <row r="41" spans="1:11" ht="15.75" customHeight="1">
      <c r="A41" s="92">
        <v>1</v>
      </c>
      <c r="B41" s="49" t="s">
        <v>1029</v>
      </c>
      <c r="C41" s="49" t="s">
        <v>227</v>
      </c>
      <c r="D41" s="49" t="s">
        <v>1030</v>
      </c>
      <c r="E41" s="49" t="s">
        <v>251</v>
      </c>
      <c r="F41" s="49"/>
      <c r="G41" s="49" t="s">
        <v>120</v>
      </c>
      <c r="H41" s="49">
        <v>25</v>
      </c>
      <c r="I41" s="94">
        <v>250</v>
      </c>
      <c r="J41" s="49" t="s">
        <v>36</v>
      </c>
      <c r="K41" s="49" t="s">
        <v>37</v>
      </c>
    </row>
    <row r="42" spans="1:11" ht="15.75" customHeight="1">
      <c r="A42" s="92">
        <v>1</v>
      </c>
      <c r="B42" s="49" t="s">
        <v>1031</v>
      </c>
      <c r="C42" s="49" t="s">
        <v>227</v>
      </c>
      <c r="D42" s="49" t="s">
        <v>772</v>
      </c>
      <c r="E42" s="49" t="s">
        <v>232</v>
      </c>
      <c r="F42" s="49"/>
      <c r="G42" s="49" t="s">
        <v>35</v>
      </c>
      <c r="H42" s="50">
        <v>1000</v>
      </c>
      <c r="I42" s="94">
        <v>150</v>
      </c>
      <c r="J42" s="49" t="s">
        <v>36</v>
      </c>
      <c r="K42" s="49" t="s">
        <v>37</v>
      </c>
    </row>
    <row r="43" spans="1:11" ht="15.75" customHeight="1">
      <c r="A43" s="92">
        <v>1</v>
      </c>
      <c r="B43" s="49" t="s">
        <v>1032</v>
      </c>
      <c r="C43" s="49" t="s">
        <v>246</v>
      </c>
      <c r="D43" s="49" t="s">
        <v>719</v>
      </c>
      <c r="E43" s="49" t="s">
        <v>254</v>
      </c>
      <c r="F43" s="49"/>
      <c r="G43" s="49" t="s">
        <v>120</v>
      </c>
      <c r="H43" s="49">
        <v>45</v>
      </c>
      <c r="I43" s="94">
        <v>350</v>
      </c>
      <c r="J43" s="49" t="s">
        <v>36</v>
      </c>
      <c r="K43" s="49" t="s">
        <v>37</v>
      </c>
    </row>
    <row r="44" spans="1:11" ht="15.75" customHeight="1">
      <c r="A44" s="92">
        <v>1</v>
      </c>
      <c r="B44" s="49" t="s">
        <v>1033</v>
      </c>
      <c r="C44" s="49" t="s">
        <v>227</v>
      </c>
      <c r="D44" s="49" t="s">
        <v>421</v>
      </c>
      <c r="E44" s="49" t="s">
        <v>251</v>
      </c>
      <c r="F44" s="49"/>
      <c r="G44" s="49" t="s">
        <v>35</v>
      </c>
      <c r="H44" s="50">
        <v>1000</v>
      </c>
      <c r="I44" s="94">
        <v>150</v>
      </c>
      <c r="J44" s="49" t="s">
        <v>36</v>
      </c>
      <c r="K44" s="49" t="s">
        <v>37</v>
      </c>
    </row>
    <row r="45" spans="1:11" ht="15.75" customHeight="1">
      <c r="A45" s="92">
        <v>1</v>
      </c>
      <c r="B45" s="49" t="s">
        <v>1034</v>
      </c>
      <c r="C45" s="49" t="s">
        <v>227</v>
      </c>
      <c r="D45" s="49" t="s">
        <v>1035</v>
      </c>
      <c r="E45" s="49" t="s">
        <v>41</v>
      </c>
      <c r="F45" s="49"/>
      <c r="G45" s="49" t="s">
        <v>35</v>
      </c>
      <c r="H45" s="49">
        <v>900</v>
      </c>
      <c r="I45" s="94">
        <v>135</v>
      </c>
      <c r="J45" s="49" t="s">
        <v>36</v>
      </c>
      <c r="K45" s="49" t="s">
        <v>37</v>
      </c>
    </row>
    <row r="46" spans="1:11" ht="15.75" customHeight="1">
      <c r="A46" s="92">
        <v>1</v>
      </c>
      <c r="B46" s="49" t="s">
        <v>1034</v>
      </c>
      <c r="C46" s="49" t="s">
        <v>227</v>
      </c>
      <c r="D46" s="49" t="s">
        <v>1035</v>
      </c>
      <c r="E46" s="49" t="s">
        <v>41</v>
      </c>
      <c r="F46" s="49"/>
      <c r="G46" s="49" t="s">
        <v>120</v>
      </c>
      <c r="H46" s="49">
        <v>20</v>
      </c>
      <c r="I46" s="94">
        <v>100</v>
      </c>
      <c r="J46" s="49" t="s">
        <v>36</v>
      </c>
      <c r="K46" s="49" t="s">
        <v>37</v>
      </c>
    </row>
    <row r="47" spans="1:11" ht="15.75" customHeight="1">
      <c r="A47" s="92">
        <v>1</v>
      </c>
      <c r="B47" s="49" t="s">
        <v>1036</v>
      </c>
      <c r="C47" s="49" t="s">
        <v>227</v>
      </c>
      <c r="D47" s="49" t="s">
        <v>812</v>
      </c>
      <c r="E47" s="49" t="s">
        <v>158</v>
      </c>
      <c r="F47" s="49"/>
      <c r="G47" s="49" t="s">
        <v>120</v>
      </c>
      <c r="H47" s="49">
        <v>25</v>
      </c>
      <c r="I47" s="94">
        <v>125</v>
      </c>
      <c r="J47" s="49" t="s">
        <v>36</v>
      </c>
      <c r="K47" s="49" t="s">
        <v>37</v>
      </c>
    </row>
    <row r="48" spans="1:11" ht="15.75" customHeight="1">
      <c r="A48" s="92">
        <v>1</v>
      </c>
      <c r="B48" s="49" t="s">
        <v>1037</v>
      </c>
      <c r="C48" s="49" t="s">
        <v>227</v>
      </c>
      <c r="D48" s="49" t="s">
        <v>244</v>
      </c>
      <c r="E48" s="49" t="s">
        <v>235</v>
      </c>
      <c r="F48" s="49"/>
      <c r="G48" s="49" t="s">
        <v>35</v>
      </c>
      <c r="H48" s="49">
        <v>100</v>
      </c>
      <c r="I48" s="94">
        <v>15</v>
      </c>
      <c r="J48" s="49" t="s">
        <v>36</v>
      </c>
      <c r="K48" s="49" t="s">
        <v>37</v>
      </c>
    </row>
    <row r="49" spans="1:11" ht="15.75" customHeight="1">
      <c r="A49" s="92">
        <v>1</v>
      </c>
      <c r="B49" s="49" t="s">
        <v>1038</v>
      </c>
      <c r="C49" s="49" t="s">
        <v>227</v>
      </c>
      <c r="D49" s="49" t="s">
        <v>452</v>
      </c>
      <c r="E49" s="49" t="s">
        <v>48</v>
      </c>
      <c r="F49" s="49"/>
      <c r="G49" s="49" t="s">
        <v>35</v>
      </c>
      <c r="H49" s="49">
        <v>300</v>
      </c>
      <c r="I49" s="94">
        <v>45</v>
      </c>
      <c r="J49" s="49" t="s">
        <v>36</v>
      </c>
      <c r="K49" s="49" t="s">
        <v>37</v>
      </c>
    </row>
    <row r="50" spans="1:11" ht="15.75" customHeight="1">
      <c r="A50" s="92">
        <v>1</v>
      </c>
      <c r="B50" s="49" t="s">
        <v>1038</v>
      </c>
      <c r="C50" s="49" t="s">
        <v>227</v>
      </c>
      <c r="D50" s="49" t="s">
        <v>452</v>
      </c>
      <c r="E50" s="49" t="s">
        <v>48</v>
      </c>
      <c r="F50" s="49"/>
      <c r="G50" s="49" t="s">
        <v>120</v>
      </c>
      <c r="H50" s="49">
        <v>20</v>
      </c>
      <c r="I50" s="94">
        <v>100</v>
      </c>
      <c r="J50" s="49" t="s">
        <v>36</v>
      </c>
      <c r="K50" s="49" t="s">
        <v>37</v>
      </c>
    </row>
    <row r="51" spans="1:11" ht="15.75" customHeight="1">
      <c r="A51" s="92">
        <v>1</v>
      </c>
      <c r="B51" s="49" t="s">
        <v>1039</v>
      </c>
      <c r="C51" s="49" t="s">
        <v>227</v>
      </c>
      <c r="D51" s="49" t="s">
        <v>947</v>
      </c>
      <c r="E51" s="49" t="s">
        <v>321</v>
      </c>
      <c r="F51" s="49"/>
      <c r="G51" s="49" t="s">
        <v>35</v>
      </c>
      <c r="H51" s="50">
        <v>1000</v>
      </c>
      <c r="I51" s="94">
        <v>150</v>
      </c>
      <c r="J51" s="49" t="s">
        <v>36</v>
      </c>
      <c r="K51" s="49" t="s">
        <v>37</v>
      </c>
    </row>
    <row r="52" spans="1:11" ht="15.75" customHeight="1">
      <c r="A52" s="92">
        <v>1</v>
      </c>
      <c r="B52" s="49" t="s">
        <v>1040</v>
      </c>
      <c r="C52" s="49" t="s">
        <v>227</v>
      </c>
      <c r="D52" s="49" t="s">
        <v>736</v>
      </c>
      <c r="E52" s="49" t="s">
        <v>232</v>
      </c>
      <c r="F52" s="49"/>
      <c r="G52" s="49" t="s">
        <v>35</v>
      </c>
      <c r="H52" s="50">
        <v>1000</v>
      </c>
      <c r="I52" s="94">
        <v>150</v>
      </c>
      <c r="J52" s="49" t="s">
        <v>36</v>
      </c>
      <c r="K52" s="49" t="s">
        <v>37</v>
      </c>
    </row>
    <row r="53" spans="1:11" ht="15.75" customHeight="1">
      <c r="A53" s="92">
        <v>1</v>
      </c>
      <c r="B53" s="49" t="s">
        <v>1041</v>
      </c>
      <c r="C53" s="49" t="s">
        <v>227</v>
      </c>
      <c r="D53" s="49" t="s">
        <v>1042</v>
      </c>
      <c r="E53" s="49" t="s">
        <v>251</v>
      </c>
      <c r="F53" s="49"/>
      <c r="G53" s="49" t="s">
        <v>35</v>
      </c>
      <c r="H53" s="49">
        <v>600</v>
      </c>
      <c r="I53" s="94">
        <v>90</v>
      </c>
      <c r="J53" s="49" t="s">
        <v>36</v>
      </c>
      <c r="K53" s="49" t="s">
        <v>37</v>
      </c>
    </row>
    <row r="54" spans="1:11" ht="15.75" customHeight="1">
      <c r="A54" s="92">
        <v>1</v>
      </c>
      <c r="B54" s="49" t="s">
        <v>1043</v>
      </c>
      <c r="C54" s="49" t="s">
        <v>227</v>
      </c>
      <c r="D54" s="49" t="s">
        <v>32</v>
      </c>
      <c r="E54" s="49" t="s">
        <v>307</v>
      </c>
      <c r="F54" s="49"/>
      <c r="G54" s="49" t="s">
        <v>35</v>
      </c>
      <c r="H54" s="50">
        <v>2000</v>
      </c>
      <c r="I54" s="94">
        <v>300</v>
      </c>
      <c r="J54" s="49" t="s">
        <v>36</v>
      </c>
      <c r="K54" s="49" t="s">
        <v>37</v>
      </c>
    </row>
    <row r="55" spans="1:11" ht="15.75" customHeight="1">
      <c r="A55" s="92">
        <v>1</v>
      </c>
      <c r="B55" s="49" t="s">
        <v>1044</v>
      </c>
      <c r="C55" s="49" t="s">
        <v>227</v>
      </c>
      <c r="D55" s="49" t="s">
        <v>385</v>
      </c>
      <c r="E55" s="49" t="s">
        <v>307</v>
      </c>
      <c r="F55" s="49"/>
      <c r="G55" s="49" t="s">
        <v>35</v>
      </c>
      <c r="H55" s="49">
        <v>500</v>
      </c>
      <c r="I55" s="94">
        <v>125</v>
      </c>
      <c r="J55" s="49" t="s">
        <v>36</v>
      </c>
      <c r="K55" s="49" t="s">
        <v>37</v>
      </c>
    </row>
    <row r="56" spans="1:11" ht="15.75" customHeight="1">
      <c r="A56" s="92">
        <v>1</v>
      </c>
      <c r="B56" s="49" t="s">
        <v>1045</v>
      </c>
      <c r="C56" s="49" t="s">
        <v>227</v>
      </c>
      <c r="D56" s="49" t="s">
        <v>231</v>
      </c>
      <c r="E56" s="49" t="s">
        <v>232</v>
      </c>
      <c r="F56" s="49"/>
      <c r="G56" s="49" t="s">
        <v>35</v>
      </c>
      <c r="H56" s="50">
        <v>3000</v>
      </c>
      <c r="I56" s="94">
        <v>450</v>
      </c>
      <c r="J56" s="49" t="s">
        <v>36</v>
      </c>
      <c r="K56" s="49" t="s">
        <v>37</v>
      </c>
    </row>
    <row r="57" spans="1:11" ht="15.75" customHeight="1">
      <c r="A57" s="92">
        <v>1</v>
      </c>
      <c r="B57" s="49" t="s">
        <v>1046</v>
      </c>
      <c r="C57" s="49" t="s">
        <v>227</v>
      </c>
      <c r="D57" s="49" t="s">
        <v>32</v>
      </c>
      <c r="E57" s="49" t="s">
        <v>33</v>
      </c>
      <c r="F57" s="49"/>
      <c r="G57" s="49" t="s">
        <v>120</v>
      </c>
      <c r="H57" s="49">
        <v>20</v>
      </c>
      <c r="I57" s="94">
        <v>200</v>
      </c>
      <c r="J57" s="49" t="s">
        <v>36</v>
      </c>
      <c r="K57" s="49" t="s">
        <v>37</v>
      </c>
    </row>
    <row r="58" spans="1:11" ht="15.75" customHeight="1">
      <c r="A58" s="92">
        <v>1</v>
      </c>
      <c r="B58" s="49" t="s">
        <v>1047</v>
      </c>
      <c r="C58" s="49" t="s">
        <v>227</v>
      </c>
      <c r="D58" s="49" t="s">
        <v>938</v>
      </c>
      <c r="E58" s="49" t="s">
        <v>251</v>
      </c>
      <c r="F58" s="49"/>
      <c r="G58" s="49" t="s">
        <v>120</v>
      </c>
      <c r="H58" s="49">
        <v>20</v>
      </c>
      <c r="I58" s="94">
        <v>200</v>
      </c>
      <c r="J58" s="49" t="s">
        <v>36</v>
      </c>
      <c r="K58" s="49" t="s">
        <v>37</v>
      </c>
    </row>
    <row r="59" spans="1:11" ht="15.75" customHeight="1">
      <c r="A59" s="92">
        <v>1</v>
      </c>
      <c r="B59" s="49" t="s">
        <v>1015</v>
      </c>
      <c r="C59" s="49" t="s">
        <v>227</v>
      </c>
      <c r="D59" s="49" t="s">
        <v>611</v>
      </c>
      <c r="E59" s="49" t="s">
        <v>48</v>
      </c>
      <c r="F59" s="49"/>
      <c r="G59" s="49" t="s">
        <v>35</v>
      </c>
      <c r="H59" s="50">
        <v>1000</v>
      </c>
      <c r="I59" s="94">
        <v>150</v>
      </c>
      <c r="J59" s="49" t="s">
        <v>36</v>
      </c>
      <c r="K59" s="49" t="s">
        <v>37</v>
      </c>
    </row>
    <row r="60" spans="1:11" ht="15.75" customHeight="1">
      <c r="A60" s="92">
        <v>2</v>
      </c>
      <c r="B60" s="49" t="s">
        <v>1048</v>
      </c>
      <c r="C60" s="49" t="s">
        <v>227</v>
      </c>
      <c r="D60" s="49" t="s">
        <v>32</v>
      </c>
      <c r="E60" s="49" t="s">
        <v>462</v>
      </c>
      <c r="F60" s="49"/>
      <c r="G60" s="49" t="s">
        <v>35</v>
      </c>
      <c r="H60" s="50">
        <v>9000</v>
      </c>
      <c r="I60" s="94">
        <v>1350</v>
      </c>
      <c r="J60" s="49" t="s">
        <v>36</v>
      </c>
      <c r="K60" s="49" t="s">
        <v>37</v>
      </c>
    </row>
    <row r="61" spans="1:11" ht="15.75" customHeight="1">
      <c r="A61" s="92">
        <v>2</v>
      </c>
      <c r="B61" s="49" t="s">
        <v>1049</v>
      </c>
      <c r="C61" s="49" t="s">
        <v>227</v>
      </c>
      <c r="D61" s="49" t="s">
        <v>290</v>
      </c>
      <c r="E61" s="49" t="s">
        <v>232</v>
      </c>
      <c r="F61" s="49"/>
      <c r="G61" s="49" t="s">
        <v>35</v>
      </c>
      <c r="H61" s="50">
        <v>2000</v>
      </c>
      <c r="I61" s="94">
        <v>300</v>
      </c>
      <c r="J61" s="49" t="s">
        <v>36</v>
      </c>
      <c r="K61" s="49" t="s">
        <v>37</v>
      </c>
    </row>
    <row r="62" spans="1:11" ht="15.75" customHeight="1">
      <c r="A62" s="92">
        <v>2</v>
      </c>
      <c r="B62" s="49" t="s">
        <v>1050</v>
      </c>
      <c r="C62" s="49" t="s">
        <v>227</v>
      </c>
      <c r="D62" s="49" t="s">
        <v>1051</v>
      </c>
      <c r="E62" s="49" t="s">
        <v>193</v>
      </c>
      <c r="F62" s="49"/>
      <c r="G62" s="49" t="s">
        <v>35</v>
      </c>
      <c r="H62" s="50">
        <v>100</v>
      </c>
      <c r="I62" s="94">
        <v>25</v>
      </c>
      <c r="J62" s="49" t="s">
        <v>36</v>
      </c>
      <c r="K62" s="49" t="s">
        <v>37</v>
      </c>
    </row>
    <row r="63" spans="1:11" ht="15.75" customHeight="1">
      <c r="A63" s="92">
        <v>2</v>
      </c>
      <c r="B63" s="49" t="s">
        <v>1050</v>
      </c>
      <c r="C63" s="49" t="s">
        <v>227</v>
      </c>
      <c r="D63" s="49" t="s">
        <v>1051</v>
      </c>
      <c r="E63" s="49" t="s">
        <v>193</v>
      </c>
      <c r="F63" s="49"/>
      <c r="G63" s="49" t="s">
        <v>120</v>
      </c>
      <c r="H63" s="50">
        <v>20</v>
      </c>
      <c r="I63" s="94">
        <v>100</v>
      </c>
      <c r="J63" s="49" t="s">
        <v>36</v>
      </c>
      <c r="K63" s="49" t="s">
        <v>37</v>
      </c>
    </row>
    <row r="64" spans="1:11" ht="15.75" customHeight="1">
      <c r="A64" s="92">
        <v>2</v>
      </c>
      <c r="B64" s="49" t="s">
        <v>1052</v>
      </c>
      <c r="C64" s="49" t="s">
        <v>227</v>
      </c>
      <c r="D64" s="49" t="s">
        <v>32</v>
      </c>
      <c r="E64" s="49" t="s">
        <v>307</v>
      </c>
      <c r="F64" s="49"/>
      <c r="G64" s="49" t="s">
        <v>120</v>
      </c>
      <c r="H64" s="50">
        <v>200</v>
      </c>
      <c r="I64" s="94">
        <v>2000</v>
      </c>
      <c r="J64" s="49" t="s">
        <v>36</v>
      </c>
      <c r="K64" s="49" t="s">
        <v>37</v>
      </c>
    </row>
    <row r="65" spans="1:11" ht="15.75" customHeight="1">
      <c r="A65" s="92">
        <v>2</v>
      </c>
      <c r="B65" s="49" t="s">
        <v>785</v>
      </c>
      <c r="C65" s="49" t="s">
        <v>227</v>
      </c>
      <c r="D65" s="49" t="s">
        <v>740</v>
      </c>
      <c r="E65" s="49" t="s">
        <v>251</v>
      </c>
      <c r="F65" s="49"/>
      <c r="G65" s="49" t="s">
        <v>35</v>
      </c>
      <c r="H65" s="50">
        <v>1000</v>
      </c>
      <c r="I65" s="94">
        <v>150</v>
      </c>
      <c r="J65" s="49" t="s">
        <v>36</v>
      </c>
      <c r="K65" s="49" t="s">
        <v>37</v>
      </c>
    </row>
    <row r="66" spans="1:11" ht="15.75" customHeight="1">
      <c r="A66" s="92">
        <v>2</v>
      </c>
      <c r="B66" s="49" t="s">
        <v>785</v>
      </c>
      <c r="C66" s="49" t="s">
        <v>227</v>
      </c>
      <c r="D66" s="49" t="s">
        <v>740</v>
      </c>
      <c r="E66" s="49" t="s">
        <v>251</v>
      </c>
      <c r="F66" s="49"/>
      <c r="G66" s="49" t="s">
        <v>120</v>
      </c>
      <c r="H66" s="50">
        <v>20</v>
      </c>
      <c r="I66" s="94">
        <v>100</v>
      </c>
      <c r="J66" s="49" t="s">
        <v>36</v>
      </c>
      <c r="K66" s="49" t="s">
        <v>37</v>
      </c>
    </row>
    <row r="67" spans="1:11" ht="15.75" customHeight="1">
      <c r="A67" s="92">
        <v>2</v>
      </c>
      <c r="B67" s="49" t="s">
        <v>1011</v>
      </c>
      <c r="C67" s="49" t="s">
        <v>227</v>
      </c>
      <c r="D67" s="49" t="s">
        <v>385</v>
      </c>
      <c r="E67" s="49" t="s">
        <v>232</v>
      </c>
      <c r="F67" s="49"/>
      <c r="G67" s="49" t="s">
        <v>120</v>
      </c>
      <c r="H67" s="50">
        <v>15</v>
      </c>
      <c r="I67" s="94">
        <v>75</v>
      </c>
      <c r="J67" s="49" t="s">
        <v>36</v>
      </c>
      <c r="K67" s="49" t="s">
        <v>37</v>
      </c>
    </row>
    <row r="68" spans="1:11" ht="15.75" customHeight="1">
      <c r="A68" s="92">
        <v>2</v>
      </c>
      <c r="B68" s="49" t="s">
        <v>1053</v>
      </c>
      <c r="C68" s="49" t="s">
        <v>227</v>
      </c>
      <c r="D68" s="49" t="s">
        <v>330</v>
      </c>
      <c r="E68" s="49" t="s">
        <v>193</v>
      </c>
      <c r="F68" s="49"/>
      <c r="G68" s="49" t="s">
        <v>35</v>
      </c>
      <c r="H68" s="50">
        <v>4000</v>
      </c>
      <c r="I68" s="94">
        <v>600</v>
      </c>
      <c r="J68" s="49" t="s">
        <v>36</v>
      </c>
      <c r="K68" s="49" t="s">
        <v>37</v>
      </c>
    </row>
    <row r="69" spans="1:11" ht="15.75" customHeight="1">
      <c r="A69" s="92">
        <v>2</v>
      </c>
      <c r="B69" s="49" t="s">
        <v>1054</v>
      </c>
      <c r="C69" s="49" t="s">
        <v>227</v>
      </c>
      <c r="D69" s="49" t="s">
        <v>858</v>
      </c>
      <c r="E69" s="49" t="s">
        <v>148</v>
      </c>
      <c r="F69" s="49"/>
      <c r="G69" s="49" t="s">
        <v>35</v>
      </c>
      <c r="H69" s="50">
        <v>500</v>
      </c>
      <c r="I69" s="94">
        <v>125</v>
      </c>
      <c r="J69" s="49" t="s">
        <v>36</v>
      </c>
      <c r="K69" s="49" t="s">
        <v>37</v>
      </c>
    </row>
    <row r="70" spans="1:11" ht="15.75" customHeight="1">
      <c r="A70" s="92">
        <v>2</v>
      </c>
      <c r="B70" s="49" t="s">
        <v>1055</v>
      </c>
      <c r="C70" s="49" t="s">
        <v>227</v>
      </c>
      <c r="D70" s="49" t="s">
        <v>330</v>
      </c>
      <c r="E70" s="49" t="s">
        <v>193</v>
      </c>
      <c r="F70" s="49"/>
      <c r="G70" s="49" t="s">
        <v>35</v>
      </c>
      <c r="H70" s="50">
        <v>10000</v>
      </c>
      <c r="I70" s="94">
        <v>1500</v>
      </c>
      <c r="J70" s="49" t="s">
        <v>36</v>
      </c>
      <c r="K70" s="49" t="s">
        <v>37</v>
      </c>
    </row>
    <row r="71" spans="1:11" ht="15.75" customHeight="1">
      <c r="A71" s="92">
        <v>2</v>
      </c>
      <c r="B71" s="49" t="s">
        <v>1056</v>
      </c>
      <c r="C71" s="49" t="s">
        <v>227</v>
      </c>
      <c r="D71" s="49" t="s">
        <v>1057</v>
      </c>
      <c r="E71" s="49" t="s">
        <v>48</v>
      </c>
      <c r="F71" s="49"/>
      <c r="G71" s="49" t="s">
        <v>35</v>
      </c>
      <c r="H71" s="50">
        <v>100</v>
      </c>
      <c r="I71" s="94">
        <v>15</v>
      </c>
      <c r="J71" s="49" t="s">
        <v>36</v>
      </c>
      <c r="K71" s="49" t="s">
        <v>37</v>
      </c>
    </row>
    <row r="72" spans="1:11" ht="15.75" customHeight="1">
      <c r="A72" s="92">
        <v>2</v>
      </c>
      <c r="B72" s="49" t="s">
        <v>1056</v>
      </c>
      <c r="C72" s="49" t="s">
        <v>227</v>
      </c>
      <c r="D72" s="49" t="s">
        <v>1057</v>
      </c>
      <c r="E72" s="49" t="s">
        <v>48</v>
      </c>
      <c r="F72" s="49"/>
      <c r="G72" s="49" t="s">
        <v>120</v>
      </c>
      <c r="H72" s="50">
        <v>30</v>
      </c>
      <c r="I72" s="94">
        <v>150</v>
      </c>
      <c r="J72" s="49" t="s">
        <v>36</v>
      </c>
      <c r="K72" s="49" t="s">
        <v>37</v>
      </c>
    </row>
    <row r="73" spans="1:11" ht="15.75" customHeight="1">
      <c r="A73" s="92">
        <v>2</v>
      </c>
      <c r="B73" s="49" t="s">
        <v>1058</v>
      </c>
      <c r="C73" s="49" t="s">
        <v>227</v>
      </c>
      <c r="D73" s="49" t="s">
        <v>609</v>
      </c>
      <c r="E73" s="49" t="s">
        <v>51</v>
      </c>
      <c r="F73" s="49"/>
      <c r="G73" s="49" t="s">
        <v>35</v>
      </c>
      <c r="H73" s="50">
        <v>5000</v>
      </c>
      <c r="I73" s="94">
        <v>750</v>
      </c>
      <c r="J73" s="49" t="s">
        <v>36</v>
      </c>
      <c r="K73" s="49" t="s">
        <v>37</v>
      </c>
    </row>
    <row r="74" spans="1:11" ht="15.75" customHeight="1">
      <c r="A74" s="92">
        <v>2</v>
      </c>
      <c r="B74" s="49" t="s">
        <v>595</v>
      </c>
      <c r="C74" s="49" t="s">
        <v>227</v>
      </c>
      <c r="D74" s="49" t="s">
        <v>1059</v>
      </c>
      <c r="E74" s="49" t="s">
        <v>75</v>
      </c>
      <c r="F74" s="49"/>
      <c r="G74" s="49" t="s">
        <v>120</v>
      </c>
      <c r="H74" s="50">
        <v>200</v>
      </c>
      <c r="I74" s="94">
        <v>2000</v>
      </c>
      <c r="J74" s="49" t="s">
        <v>36</v>
      </c>
      <c r="K74" s="49" t="s">
        <v>37</v>
      </c>
    </row>
    <row r="75" spans="1:11" ht="15.75" customHeight="1">
      <c r="A75" s="92">
        <v>2</v>
      </c>
      <c r="B75" s="49" t="s">
        <v>1060</v>
      </c>
      <c r="C75" s="49" t="s">
        <v>227</v>
      </c>
      <c r="D75" s="49" t="s">
        <v>315</v>
      </c>
      <c r="E75" s="49" t="s">
        <v>48</v>
      </c>
      <c r="F75" s="49"/>
      <c r="G75" s="49" t="s">
        <v>120</v>
      </c>
      <c r="H75" s="50">
        <v>30</v>
      </c>
      <c r="I75" s="94">
        <v>300</v>
      </c>
      <c r="J75" s="49" t="s">
        <v>36</v>
      </c>
      <c r="K75" s="49" t="s">
        <v>37</v>
      </c>
    </row>
    <row r="76" spans="1:11" ht="15.75" customHeight="1">
      <c r="A76" s="92">
        <v>2</v>
      </c>
      <c r="B76" s="49" t="s">
        <v>1061</v>
      </c>
      <c r="C76" s="49" t="s">
        <v>227</v>
      </c>
      <c r="D76" s="49" t="s">
        <v>290</v>
      </c>
      <c r="E76" s="49" t="s">
        <v>232</v>
      </c>
      <c r="F76" s="49"/>
      <c r="G76" s="49" t="s">
        <v>35</v>
      </c>
      <c r="H76" s="50">
        <v>3000</v>
      </c>
      <c r="I76" s="94">
        <v>450</v>
      </c>
      <c r="J76" s="49" t="s">
        <v>36</v>
      </c>
      <c r="K76" s="49" t="s">
        <v>37</v>
      </c>
    </row>
    <row r="77" spans="1:11" ht="15.75" customHeight="1">
      <c r="A77" s="92">
        <v>3</v>
      </c>
      <c r="B77" s="49" t="s">
        <v>1062</v>
      </c>
      <c r="C77" s="49" t="s">
        <v>246</v>
      </c>
      <c r="D77" s="49" t="s">
        <v>613</v>
      </c>
      <c r="E77" s="49" t="s">
        <v>507</v>
      </c>
      <c r="F77" s="49"/>
      <c r="G77" s="49" t="s">
        <v>35</v>
      </c>
      <c r="H77" s="50">
        <v>8000</v>
      </c>
      <c r="I77" s="94">
        <v>1200</v>
      </c>
      <c r="J77" s="49" t="s">
        <v>36</v>
      </c>
      <c r="K77" s="49" t="s">
        <v>37</v>
      </c>
    </row>
    <row r="78" spans="1:11" ht="15.75" customHeight="1">
      <c r="A78" s="92">
        <v>3</v>
      </c>
      <c r="B78" s="49" t="s">
        <v>542</v>
      </c>
      <c r="C78" s="49" t="s">
        <v>227</v>
      </c>
      <c r="D78" s="49" t="s">
        <v>354</v>
      </c>
      <c r="E78" s="49" t="s">
        <v>251</v>
      </c>
      <c r="F78" s="49"/>
      <c r="G78" s="49" t="s">
        <v>35</v>
      </c>
      <c r="H78" s="50">
        <v>160</v>
      </c>
      <c r="I78" s="94">
        <v>72</v>
      </c>
      <c r="J78" s="49" t="s">
        <v>36</v>
      </c>
      <c r="K78" s="49" t="s">
        <v>37</v>
      </c>
    </row>
    <row r="79" spans="1:11" ht="15.75" customHeight="1">
      <c r="A79" s="92">
        <v>3</v>
      </c>
      <c r="B79" s="49" t="s">
        <v>710</v>
      </c>
      <c r="C79" s="49" t="s">
        <v>227</v>
      </c>
      <c r="D79" s="49" t="s">
        <v>375</v>
      </c>
      <c r="E79" s="49" t="s">
        <v>235</v>
      </c>
      <c r="F79" s="49"/>
      <c r="G79" s="49" t="s">
        <v>120</v>
      </c>
      <c r="H79" s="50">
        <v>10</v>
      </c>
      <c r="I79" s="94">
        <v>50</v>
      </c>
      <c r="J79" s="49" t="s">
        <v>36</v>
      </c>
      <c r="K79" s="49" t="s">
        <v>37</v>
      </c>
    </row>
    <row r="80" spans="1:11" ht="15.75" customHeight="1">
      <c r="A80" s="92">
        <v>3</v>
      </c>
      <c r="B80" s="49" t="s">
        <v>1063</v>
      </c>
      <c r="C80" s="49" t="s">
        <v>227</v>
      </c>
      <c r="D80" s="49" t="s">
        <v>237</v>
      </c>
      <c r="E80" s="49" t="s">
        <v>507</v>
      </c>
      <c r="F80" s="49"/>
      <c r="G80" s="49" t="s">
        <v>120</v>
      </c>
      <c r="H80" s="50">
        <v>24</v>
      </c>
      <c r="I80" s="94">
        <v>120</v>
      </c>
      <c r="J80" s="49" t="s">
        <v>36</v>
      </c>
      <c r="K80" s="49" t="s">
        <v>37</v>
      </c>
    </row>
    <row r="81" spans="1:11" ht="15.75" customHeight="1">
      <c r="A81" s="92">
        <v>3</v>
      </c>
      <c r="B81" s="49" t="s">
        <v>1064</v>
      </c>
      <c r="C81" s="49" t="s">
        <v>227</v>
      </c>
      <c r="D81" s="49" t="s">
        <v>522</v>
      </c>
      <c r="E81" s="49" t="s">
        <v>307</v>
      </c>
      <c r="F81" s="49"/>
      <c r="G81" s="49" t="s">
        <v>35</v>
      </c>
      <c r="H81" s="50">
        <v>200</v>
      </c>
      <c r="I81" s="94">
        <v>50</v>
      </c>
      <c r="J81" s="49" t="s">
        <v>36</v>
      </c>
      <c r="K81" s="49" t="s">
        <v>37</v>
      </c>
    </row>
    <row r="82" spans="1:11" ht="15.75" customHeight="1">
      <c r="A82" s="92">
        <v>4</v>
      </c>
      <c r="B82" s="49" t="s">
        <v>1065</v>
      </c>
      <c r="C82" s="49" t="s">
        <v>246</v>
      </c>
      <c r="D82" s="49" t="s">
        <v>32</v>
      </c>
      <c r="E82" s="49" t="s">
        <v>33</v>
      </c>
      <c r="F82" s="49"/>
      <c r="G82" s="49" t="s">
        <v>35</v>
      </c>
      <c r="H82" s="50">
        <v>100</v>
      </c>
      <c r="I82" s="94">
        <v>15</v>
      </c>
      <c r="J82" s="49" t="s">
        <v>36</v>
      </c>
      <c r="K82" s="49" t="s">
        <v>37</v>
      </c>
    </row>
    <row r="83" spans="1:11" ht="15.75" customHeight="1">
      <c r="A83" s="92">
        <v>4</v>
      </c>
      <c r="B83" s="49" t="s">
        <v>1065</v>
      </c>
      <c r="C83" s="49" t="s">
        <v>246</v>
      </c>
      <c r="D83" s="49" t="s">
        <v>32</v>
      </c>
      <c r="E83" s="49" t="s">
        <v>33</v>
      </c>
      <c r="F83" s="49"/>
      <c r="G83" s="49" t="s">
        <v>242</v>
      </c>
      <c r="H83" s="50">
        <v>30</v>
      </c>
      <c r="I83" s="94">
        <v>90</v>
      </c>
      <c r="J83" s="49" t="s">
        <v>36</v>
      </c>
      <c r="K83" s="49" t="s">
        <v>37</v>
      </c>
    </row>
    <row r="84" spans="1:11" ht="15.75" customHeight="1">
      <c r="A84" s="92">
        <v>4</v>
      </c>
      <c r="B84" s="49" t="s">
        <v>1066</v>
      </c>
      <c r="C84" s="49" t="s">
        <v>246</v>
      </c>
      <c r="D84" s="49" t="s">
        <v>1067</v>
      </c>
      <c r="E84" s="49" t="s">
        <v>158</v>
      </c>
      <c r="F84" s="49"/>
      <c r="G84" s="49" t="s">
        <v>35</v>
      </c>
      <c r="H84" s="50">
        <v>200</v>
      </c>
      <c r="I84" s="94">
        <v>30</v>
      </c>
      <c r="J84" s="49" t="s">
        <v>36</v>
      </c>
      <c r="K84" s="49" t="s">
        <v>37</v>
      </c>
    </row>
    <row r="85" spans="1:11" ht="15.75" customHeight="1">
      <c r="A85" s="92">
        <v>4</v>
      </c>
      <c r="B85" s="49" t="s">
        <v>1068</v>
      </c>
      <c r="C85" s="49" t="s">
        <v>227</v>
      </c>
      <c r="D85" s="49" t="s">
        <v>1069</v>
      </c>
      <c r="E85" s="49" t="s">
        <v>251</v>
      </c>
      <c r="F85" s="49"/>
      <c r="G85" s="49" t="s">
        <v>35</v>
      </c>
      <c r="H85" s="50">
        <v>100</v>
      </c>
      <c r="I85" s="94">
        <v>15</v>
      </c>
      <c r="J85" s="49" t="s">
        <v>36</v>
      </c>
      <c r="K85" s="49" t="s">
        <v>37</v>
      </c>
    </row>
    <row r="86" spans="1:11" ht="15.75" customHeight="1">
      <c r="A86" s="92">
        <v>4</v>
      </c>
      <c r="B86" s="49" t="s">
        <v>1070</v>
      </c>
      <c r="C86" s="49" t="s">
        <v>246</v>
      </c>
      <c r="D86" s="49" t="s">
        <v>290</v>
      </c>
      <c r="E86" s="49" t="s">
        <v>232</v>
      </c>
      <c r="F86" s="49"/>
      <c r="G86" s="49" t="s">
        <v>35</v>
      </c>
      <c r="H86" s="50">
        <v>1500</v>
      </c>
      <c r="I86" s="94">
        <v>225</v>
      </c>
      <c r="J86" s="49" t="s">
        <v>36</v>
      </c>
      <c r="K86" s="49" t="s">
        <v>37</v>
      </c>
    </row>
    <row r="87" spans="1:11" ht="15.75" customHeight="1">
      <c r="A87" s="92">
        <v>8</v>
      </c>
      <c r="B87" s="49" t="s">
        <v>1071</v>
      </c>
      <c r="C87" s="49" t="s">
        <v>227</v>
      </c>
      <c r="D87" s="49" t="s">
        <v>209</v>
      </c>
      <c r="E87" s="49" t="s">
        <v>115</v>
      </c>
      <c r="F87" s="49"/>
      <c r="G87" s="49" t="s">
        <v>35</v>
      </c>
      <c r="H87" s="50">
        <v>18200</v>
      </c>
      <c r="I87" s="94">
        <v>4550</v>
      </c>
      <c r="J87" s="49" t="s">
        <v>117</v>
      </c>
      <c r="K87" s="49" t="s">
        <v>37</v>
      </c>
    </row>
    <row r="88" spans="1:11" ht="15.75" customHeight="1">
      <c r="A88" s="92">
        <v>8</v>
      </c>
      <c r="B88" s="49" t="s">
        <v>1072</v>
      </c>
      <c r="C88" s="49" t="s">
        <v>227</v>
      </c>
      <c r="D88" s="49" t="s">
        <v>1073</v>
      </c>
      <c r="E88" s="49" t="s">
        <v>164</v>
      </c>
      <c r="F88" s="49"/>
      <c r="G88" s="49" t="s">
        <v>35</v>
      </c>
      <c r="H88" s="50">
        <v>5000</v>
      </c>
      <c r="I88" s="94">
        <v>750</v>
      </c>
      <c r="J88" s="49" t="s">
        <v>36</v>
      </c>
      <c r="K88" s="49" t="s">
        <v>37</v>
      </c>
    </row>
    <row r="89" spans="1:11" ht="15.75" customHeight="1">
      <c r="A89" s="92">
        <v>8</v>
      </c>
      <c r="B89" s="49" t="s">
        <v>785</v>
      </c>
      <c r="C89" s="49" t="s">
        <v>227</v>
      </c>
      <c r="D89" s="49" t="s">
        <v>527</v>
      </c>
      <c r="E89" s="49" t="s">
        <v>251</v>
      </c>
      <c r="F89" s="49"/>
      <c r="G89" s="49" t="s">
        <v>120</v>
      </c>
      <c r="H89" s="50">
        <v>40</v>
      </c>
      <c r="I89" s="94">
        <v>200</v>
      </c>
      <c r="J89" s="49" t="s">
        <v>36</v>
      </c>
      <c r="K89" s="49" t="s">
        <v>37</v>
      </c>
    </row>
    <row r="90" spans="1:11" ht="15.75" customHeight="1">
      <c r="A90" s="92">
        <v>8</v>
      </c>
      <c r="B90" s="49" t="s">
        <v>1048</v>
      </c>
      <c r="C90" s="49" t="s">
        <v>227</v>
      </c>
      <c r="D90" s="49" t="s">
        <v>32</v>
      </c>
      <c r="E90" s="49" t="s">
        <v>462</v>
      </c>
      <c r="F90" s="49"/>
      <c r="G90" s="49" t="s">
        <v>35</v>
      </c>
      <c r="H90" s="50">
        <v>7000</v>
      </c>
      <c r="I90" s="94">
        <v>1050</v>
      </c>
      <c r="J90" s="49" t="s">
        <v>36</v>
      </c>
      <c r="K90" s="49" t="s">
        <v>37</v>
      </c>
    </row>
    <row r="91" spans="1:11" ht="15.75" customHeight="1">
      <c r="A91" s="92">
        <v>8</v>
      </c>
      <c r="B91" s="49" t="s">
        <v>1074</v>
      </c>
      <c r="C91" s="49" t="s">
        <v>246</v>
      </c>
      <c r="D91" s="49"/>
      <c r="E91" s="49" t="s">
        <v>1075</v>
      </c>
      <c r="F91" s="49"/>
      <c r="G91" s="49" t="s">
        <v>35</v>
      </c>
      <c r="H91" s="50">
        <v>1500</v>
      </c>
      <c r="I91" s="94"/>
      <c r="J91" s="49" t="s">
        <v>43</v>
      </c>
      <c r="K91" s="49" t="s">
        <v>37</v>
      </c>
    </row>
    <row r="92" spans="1:11" ht="15.75" customHeight="1">
      <c r="A92" s="92">
        <v>8</v>
      </c>
      <c r="B92" s="49" t="s">
        <v>1076</v>
      </c>
      <c r="C92" s="49" t="s">
        <v>227</v>
      </c>
      <c r="D92" s="49" t="s">
        <v>1077</v>
      </c>
      <c r="E92" s="49" t="s">
        <v>386</v>
      </c>
      <c r="F92" s="49"/>
      <c r="G92" s="49" t="s">
        <v>35</v>
      </c>
      <c r="H92" s="50">
        <v>3000</v>
      </c>
      <c r="I92" s="94">
        <v>450</v>
      </c>
      <c r="J92" s="49" t="s">
        <v>36</v>
      </c>
      <c r="K92" s="49" t="s">
        <v>37</v>
      </c>
    </row>
    <row r="93" spans="1:11" ht="15.75" customHeight="1">
      <c r="A93" s="92">
        <v>8</v>
      </c>
      <c r="B93" s="49" t="s">
        <v>1078</v>
      </c>
      <c r="C93" s="49" t="s">
        <v>227</v>
      </c>
      <c r="D93" s="49" t="s">
        <v>330</v>
      </c>
      <c r="E93" s="49" t="s">
        <v>48</v>
      </c>
      <c r="F93" s="49"/>
      <c r="G93" s="49" t="s">
        <v>35</v>
      </c>
      <c r="H93" s="50">
        <v>100</v>
      </c>
      <c r="I93" s="94">
        <v>15</v>
      </c>
      <c r="J93" s="49" t="s">
        <v>36</v>
      </c>
      <c r="K93" s="49" t="s">
        <v>37</v>
      </c>
    </row>
    <row r="94" spans="1:11" ht="15.75" customHeight="1">
      <c r="A94" s="92">
        <v>8</v>
      </c>
      <c r="B94" s="49" t="s">
        <v>233</v>
      </c>
      <c r="C94" s="49" t="s">
        <v>227</v>
      </c>
      <c r="D94" s="49" t="s">
        <v>234</v>
      </c>
      <c r="E94" s="49" t="s">
        <v>235</v>
      </c>
      <c r="F94" s="49"/>
      <c r="G94" s="49" t="s">
        <v>35</v>
      </c>
      <c r="H94" s="50">
        <v>1000</v>
      </c>
      <c r="I94" s="94">
        <v>150</v>
      </c>
      <c r="J94" s="49" t="s">
        <v>36</v>
      </c>
      <c r="K94" s="49" t="s">
        <v>37</v>
      </c>
    </row>
    <row r="95" spans="1:11" ht="15.75" customHeight="1">
      <c r="A95" s="92">
        <v>8</v>
      </c>
      <c r="B95" s="49" t="s">
        <v>1079</v>
      </c>
      <c r="C95" s="49" t="s">
        <v>246</v>
      </c>
      <c r="D95" s="49" t="s">
        <v>798</v>
      </c>
      <c r="E95" s="49" t="s">
        <v>248</v>
      </c>
      <c r="F95" s="49"/>
      <c r="G95" s="49" t="s">
        <v>35</v>
      </c>
      <c r="H95" s="50">
        <v>500</v>
      </c>
      <c r="I95" s="94">
        <v>75</v>
      </c>
      <c r="J95" s="49" t="s">
        <v>36</v>
      </c>
      <c r="K95" s="49" t="s">
        <v>37</v>
      </c>
    </row>
    <row r="96" spans="1:11" ht="15.75" customHeight="1">
      <c r="A96" s="92">
        <v>8</v>
      </c>
      <c r="B96" s="49" t="s">
        <v>1079</v>
      </c>
      <c r="C96" s="49" t="s">
        <v>246</v>
      </c>
      <c r="D96" s="49" t="s">
        <v>798</v>
      </c>
      <c r="E96" s="49" t="s">
        <v>248</v>
      </c>
      <c r="F96" s="49"/>
      <c r="G96" s="49" t="s">
        <v>120</v>
      </c>
      <c r="H96" s="50">
        <v>10</v>
      </c>
      <c r="I96" s="94">
        <v>50</v>
      </c>
      <c r="J96" s="49" t="s">
        <v>36</v>
      </c>
      <c r="K96" s="49" t="s">
        <v>37</v>
      </c>
    </row>
    <row r="97" spans="1:11" ht="15.75" customHeight="1">
      <c r="A97" s="92">
        <v>8</v>
      </c>
      <c r="B97" s="49" t="s">
        <v>1080</v>
      </c>
      <c r="C97" s="49" t="s">
        <v>227</v>
      </c>
      <c r="D97" s="49" t="s">
        <v>1081</v>
      </c>
      <c r="E97" s="49" t="s">
        <v>235</v>
      </c>
      <c r="F97" s="49"/>
      <c r="G97" s="49" t="s">
        <v>120</v>
      </c>
      <c r="H97" s="50">
        <v>10</v>
      </c>
      <c r="I97" s="94">
        <v>50</v>
      </c>
      <c r="J97" s="49" t="s">
        <v>36</v>
      </c>
      <c r="K97" s="49" t="s">
        <v>37</v>
      </c>
    </row>
    <row r="98" spans="1:11" ht="15.75" customHeight="1">
      <c r="A98" s="92">
        <v>8</v>
      </c>
      <c r="B98" s="49" t="s">
        <v>1082</v>
      </c>
      <c r="C98" s="49" t="s">
        <v>227</v>
      </c>
      <c r="D98" s="49" t="s">
        <v>32</v>
      </c>
      <c r="E98" s="49" t="s">
        <v>251</v>
      </c>
      <c r="F98" s="49"/>
      <c r="G98" s="49" t="s">
        <v>120</v>
      </c>
      <c r="H98" s="50">
        <v>10</v>
      </c>
      <c r="I98" s="94">
        <v>50</v>
      </c>
      <c r="J98" s="49" t="s">
        <v>36</v>
      </c>
      <c r="K98" s="49" t="s">
        <v>37</v>
      </c>
    </row>
    <row r="99" spans="1:11" ht="15.75" customHeight="1">
      <c r="A99" s="92">
        <v>8</v>
      </c>
      <c r="B99" s="49" t="s">
        <v>1083</v>
      </c>
      <c r="C99" s="49" t="s">
        <v>227</v>
      </c>
      <c r="D99" s="49" t="s">
        <v>385</v>
      </c>
      <c r="E99" s="49" t="s">
        <v>307</v>
      </c>
      <c r="F99" s="49"/>
      <c r="G99" s="49" t="s">
        <v>35</v>
      </c>
      <c r="H99" s="50">
        <v>100</v>
      </c>
      <c r="I99" s="94">
        <v>15</v>
      </c>
      <c r="J99" s="49" t="s">
        <v>36</v>
      </c>
      <c r="K99" s="49" t="s">
        <v>37</v>
      </c>
    </row>
    <row r="100" spans="1:11" ht="15.75" customHeight="1">
      <c r="A100" s="92">
        <v>8</v>
      </c>
      <c r="B100" s="49" t="s">
        <v>1084</v>
      </c>
      <c r="C100" s="49" t="s">
        <v>227</v>
      </c>
      <c r="D100" s="49" t="s">
        <v>607</v>
      </c>
      <c r="E100" s="49" t="s">
        <v>235</v>
      </c>
      <c r="F100" s="49"/>
      <c r="G100" s="49" t="s">
        <v>120</v>
      </c>
      <c r="H100" s="50">
        <v>10</v>
      </c>
      <c r="I100" s="94">
        <v>50</v>
      </c>
      <c r="J100" s="49" t="s">
        <v>36</v>
      </c>
      <c r="K100" s="49" t="s">
        <v>37</v>
      </c>
    </row>
    <row r="101" spans="1:11" ht="15.75" customHeight="1">
      <c r="A101" s="92">
        <v>8</v>
      </c>
      <c r="B101" s="49" t="s">
        <v>1085</v>
      </c>
      <c r="C101" s="49" t="s">
        <v>246</v>
      </c>
      <c r="D101" s="49" t="s">
        <v>772</v>
      </c>
      <c r="E101" s="49" t="s">
        <v>232</v>
      </c>
      <c r="F101" s="49"/>
      <c r="G101" s="49" t="s">
        <v>35</v>
      </c>
      <c r="H101" s="49">
        <v>700</v>
      </c>
      <c r="I101" s="94">
        <v>105</v>
      </c>
      <c r="J101" s="49" t="s">
        <v>36</v>
      </c>
      <c r="K101" s="49" t="s">
        <v>37</v>
      </c>
    </row>
    <row r="102" spans="1:11" ht="15.75" customHeight="1">
      <c r="A102" s="92">
        <v>8</v>
      </c>
      <c r="B102" s="49" t="s">
        <v>1085</v>
      </c>
      <c r="C102" s="49" t="s">
        <v>246</v>
      </c>
      <c r="D102" s="49" t="s">
        <v>772</v>
      </c>
      <c r="E102" s="49" t="s">
        <v>232</v>
      </c>
      <c r="F102" s="49"/>
      <c r="G102" s="49" t="s">
        <v>120</v>
      </c>
      <c r="H102" s="49">
        <v>100</v>
      </c>
      <c r="I102" s="94">
        <v>500</v>
      </c>
      <c r="J102" s="49" t="s">
        <v>36</v>
      </c>
      <c r="K102" s="49" t="s">
        <v>37</v>
      </c>
    </row>
    <row r="103" spans="1:11" ht="15.75" customHeight="1">
      <c r="A103" s="92">
        <v>8</v>
      </c>
      <c r="B103" s="49" t="s">
        <v>1086</v>
      </c>
      <c r="C103" s="49" t="s">
        <v>227</v>
      </c>
      <c r="D103" s="49" t="s">
        <v>83</v>
      </c>
      <c r="E103" s="49" t="s">
        <v>84</v>
      </c>
      <c r="F103" s="49"/>
      <c r="G103" s="49" t="s">
        <v>120</v>
      </c>
      <c r="H103" s="49">
        <v>40</v>
      </c>
      <c r="I103" s="94"/>
      <c r="J103" s="49" t="s">
        <v>43</v>
      </c>
      <c r="K103" s="49" t="s">
        <v>37</v>
      </c>
    </row>
    <row r="104" spans="1:11" ht="15.75" customHeight="1">
      <c r="A104" s="92">
        <v>8</v>
      </c>
      <c r="B104" s="49" t="s">
        <v>1087</v>
      </c>
      <c r="C104" s="49" t="s">
        <v>227</v>
      </c>
      <c r="D104" s="49" t="s">
        <v>1088</v>
      </c>
      <c r="E104" s="49" t="s">
        <v>722</v>
      </c>
      <c r="F104" s="49"/>
      <c r="G104" s="49" t="s">
        <v>35</v>
      </c>
      <c r="H104" s="49">
        <v>260</v>
      </c>
      <c r="I104" s="94">
        <v>39</v>
      </c>
      <c r="J104" s="49" t="s">
        <v>36</v>
      </c>
      <c r="K104" s="49" t="s">
        <v>37</v>
      </c>
    </row>
    <row r="105" spans="1:11" ht="15.75" customHeight="1">
      <c r="A105" s="92">
        <v>8</v>
      </c>
      <c r="B105" s="49" t="s">
        <v>883</v>
      </c>
      <c r="C105" s="49" t="s">
        <v>227</v>
      </c>
      <c r="D105" s="49" t="s">
        <v>32</v>
      </c>
      <c r="E105" s="49" t="s">
        <v>307</v>
      </c>
      <c r="F105" s="49"/>
      <c r="G105" s="49" t="s">
        <v>120</v>
      </c>
      <c r="H105" s="49">
        <v>150</v>
      </c>
      <c r="I105" s="94">
        <v>1500</v>
      </c>
      <c r="J105" s="49" t="s">
        <v>36</v>
      </c>
      <c r="K105" s="49" t="s">
        <v>37</v>
      </c>
    </row>
    <row r="106" spans="1:11" ht="15.75" customHeight="1">
      <c r="A106" s="92">
        <v>8</v>
      </c>
      <c r="B106" s="49" t="s">
        <v>1089</v>
      </c>
      <c r="C106" s="49" t="s">
        <v>227</v>
      </c>
      <c r="D106" s="49" t="s">
        <v>812</v>
      </c>
      <c r="E106" s="49" t="s">
        <v>158</v>
      </c>
      <c r="F106" s="49"/>
      <c r="G106" s="49" t="s">
        <v>35</v>
      </c>
      <c r="H106" s="50">
        <v>3000</v>
      </c>
      <c r="I106" s="94">
        <v>450</v>
      </c>
      <c r="J106" s="49" t="s">
        <v>36</v>
      </c>
      <c r="K106" s="49" t="s">
        <v>37</v>
      </c>
    </row>
    <row r="107" spans="1:11" ht="15.75" customHeight="1">
      <c r="A107" s="92">
        <v>8</v>
      </c>
      <c r="B107" s="49" t="s">
        <v>1089</v>
      </c>
      <c r="C107" s="49" t="s">
        <v>227</v>
      </c>
      <c r="D107" s="49" t="s">
        <v>812</v>
      </c>
      <c r="E107" s="49" t="s">
        <v>158</v>
      </c>
      <c r="F107" s="49"/>
      <c r="G107" s="49" t="s">
        <v>120</v>
      </c>
      <c r="H107" s="49">
        <v>10</v>
      </c>
      <c r="I107" s="94">
        <v>50</v>
      </c>
      <c r="J107" s="49" t="s">
        <v>36</v>
      </c>
      <c r="K107" s="49" t="s">
        <v>37</v>
      </c>
    </row>
    <row r="108" spans="1:11" ht="15.75" customHeight="1">
      <c r="A108" s="92">
        <v>9</v>
      </c>
      <c r="B108" s="49" t="s">
        <v>1090</v>
      </c>
      <c r="C108" s="49" t="s">
        <v>227</v>
      </c>
      <c r="D108" s="49" t="s">
        <v>390</v>
      </c>
      <c r="E108" s="49" t="s">
        <v>199</v>
      </c>
      <c r="F108" s="49"/>
      <c r="G108" s="49" t="s">
        <v>35</v>
      </c>
      <c r="H108" s="50">
        <v>6000</v>
      </c>
      <c r="I108" s="94">
        <v>900</v>
      </c>
      <c r="J108" s="49" t="s">
        <v>36</v>
      </c>
      <c r="K108" s="49" t="s">
        <v>37</v>
      </c>
    </row>
    <row r="109" spans="1:11" ht="15.75" customHeight="1">
      <c r="A109" s="92">
        <v>9</v>
      </c>
      <c r="B109" s="49" t="s">
        <v>1090</v>
      </c>
      <c r="C109" s="49" t="s">
        <v>227</v>
      </c>
      <c r="D109" s="49" t="s">
        <v>390</v>
      </c>
      <c r="E109" s="49" t="s">
        <v>199</v>
      </c>
      <c r="F109" s="49"/>
      <c r="G109" s="49" t="s">
        <v>35</v>
      </c>
      <c r="H109" s="50">
        <v>2000</v>
      </c>
      <c r="I109" s="94">
        <v>500</v>
      </c>
      <c r="J109" s="49" t="s">
        <v>36</v>
      </c>
      <c r="K109" s="49" t="s">
        <v>37</v>
      </c>
    </row>
    <row r="110" spans="1:11" ht="15.75" customHeight="1">
      <c r="A110" s="92">
        <v>9</v>
      </c>
      <c r="B110" s="49" t="s">
        <v>1091</v>
      </c>
      <c r="C110" s="49" t="s">
        <v>227</v>
      </c>
      <c r="D110" s="49" t="s">
        <v>1092</v>
      </c>
      <c r="E110" s="49" t="s">
        <v>254</v>
      </c>
      <c r="F110" s="49"/>
      <c r="G110" s="49" t="s">
        <v>120</v>
      </c>
      <c r="H110" s="49">
        <v>30</v>
      </c>
      <c r="I110" s="94">
        <v>150</v>
      </c>
      <c r="J110" s="49" t="s">
        <v>36</v>
      </c>
      <c r="K110" s="49" t="s">
        <v>37</v>
      </c>
    </row>
    <row r="111" spans="1:11" ht="15.75" customHeight="1">
      <c r="A111" s="92">
        <v>9</v>
      </c>
      <c r="B111" s="49" t="s">
        <v>1093</v>
      </c>
      <c r="C111" s="49" t="s">
        <v>227</v>
      </c>
      <c r="D111" s="49" t="s">
        <v>548</v>
      </c>
      <c r="E111" s="49" t="s">
        <v>48</v>
      </c>
      <c r="F111" s="49"/>
      <c r="G111" s="49" t="s">
        <v>120</v>
      </c>
      <c r="H111" s="49">
        <v>30</v>
      </c>
      <c r="I111" s="94">
        <v>150</v>
      </c>
      <c r="J111" s="49" t="s">
        <v>36</v>
      </c>
      <c r="K111" s="49" t="s">
        <v>37</v>
      </c>
    </row>
    <row r="112" spans="1:11" ht="15.75" customHeight="1">
      <c r="A112" s="92">
        <v>9</v>
      </c>
      <c r="B112" s="49" t="s">
        <v>1094</v>
      </c>
      <c r="C112" s="49" t="s">
        <v>227</v>
      </c>
      <c r="D112" s="49" t="s">
        <v>268</v>
      </c>
      <c r="E112" s="49" t="s">
        <v>248</v>
      </c>
      <c r="F112" s="49"/>
      <c r="G112" s="49" t="s">
        <v>35</v>
      </c>
      <c r="H112" s="50">
        <v>5000</v>
      </c>
      <c r="I112" s="94">
        <v>750</v>
      </c>
      <c r="J112" s="49" t="s">
        <v>36</v>
      </c>
      <c r="K112" s="49" t="s">
        <v>37</v>
      </c>
    </row>
    <row r="113" spans="1:11" ht="15.75" customHeight="1">
      <c r="A113" s="92">
        <v>9</v>
      </c>
      <c r="B113" s="49" t="s">
        <v>1095</v>
      </c>
      <c r="C113" s="49" t="s">
        <v>227</v>
      </c>
      <c r="D113" s="49" t="s">
        <v>385</v>
      </c>
      <c r="E113" s="49" t="s">
        <v>386</v>
      </c>
      <c r="F113" s="49"/>
      <c r="G113" s="49" t="s">
        <v>35</v>
      </c>
      <c r="H113" s="49">
        <v>500</v>
      </c>
      <c r="I113" s="94">
        <v>125</v>
      </c>
      <c r="J113" s="49" t="s">
        <v>36</v>
      </c>
      <c r="K113" s="49" t="s">
        <v>37</v>
      </c>
    </row>
    <row r="114" spans="1:11" ht="15.75" customHeight="1">
      <c r="A114" s="92">
        <v>9</v>
      </c>
      <c r="B114" s="49" t="s">
        <v>1096</v>
      </c>
      <c r="C114" s="49" t="s">
        <v>246</v>
      </c>
      <c r="D114" s="49" t="s">
        <v>1097</v>
      </c>
      <c r="E114" s="49" t="s">
        <v>51</v>
      </c>
      <c r="F114" s="49"/>
      <c r="G114" s="49" t="s">
        <v>35</v>
      </c>
      <c r="H114" s="50">
        <v>1000</v>
      </c>
      <c r="I114" s="94">
        <v>250</v>
      </c>
      <c r="J114" s="49" t="s">
        <v>36</v>
      </c>
      <c r="K114" s="49" t="s">
        <v>37</v>
      </c>
    </row>
    <row r="115" spans="1:11" ht="15.75" customHeight="1">
      <c r="A115" s="92">
        <v>9</v>
      </c>
      <c r="B115" s="49" t="s">
        <v>1096</v>
      </c>
      <c r="C115" s="49" t="s">
        <v>246</v>
      </c>
      <c r="D115" s="49" t="s">
        <v>1097</v>
      </c>
      <c r="E115" s="49" t="s">
        <v>51</v>
      </c>
      <c r="F115" s="49"/>
      <c r="G115" s="49" t="s">
        <v>120</v>
      </c>
      <c r="H115" s="49">
        <v>44</v>
      </c>
      <c r="I115" s="94">
        <v>220</v>
      </c>
      <c r="J115" s="49" t="s">
        <v>36</v>
      </c>
      <c r="K115" s="49" t="s">
        <v>37</v>
      </c>
    </row>
    <row r="116" spans="1:11" ht="15.75" customHeight="1">
      <c r="A116" s="92">
        <v>9</v>
      </c>
      <c r="B116" s="49" t="s">
        <v>990</v>
      </c>
      <c r="C116" s="49" t="s">
        <v>227</v>
      </c>
      <c r="D116" s="49" t="s">
        <v>444</v>
      </c>
      <c r="E116" s="49" t="s">
        <v>235</v>
      </c>
      <c r="F116" s="49"/>
      <c r="G116" s="49" t="s">
        <v>120</v>
      </c>
      <c r="H116" s="49">
        <v>40</v>
      </c>
      <c r="I116" s="94">
        <v>200</v>
      </c>
      <c r="J116" s="49" t="s">
        <v>36</v>
      </c>
      <c r="K116" s="49" t="s">
        <v>37</v>
      </c>
    </row>
    <row r="117" spans="1:11" ht="15.75" customHeight="1">
      <c r="A117" s="92">
        <v>9</v>
      </c>
      <c r="B117" s="49" t="s">
        <v>1098</v>
      </c>
      <c r="C117" s="49" t="s">
        <v>227</v>
      </c>
      <c r="D117" s="49" t="s">
        <v>360</v>
      </c>
      <c r="E117" s="49" t="s">
        <v>48</v>
      </c>
      <c r="F117" s="49"/>
      <c r="G117" s="49" t="s">
        <v>35</v>
      </c>
      <c r="H117" s="50">
        <v>1500</v>
      </c>
      <c r="I117" s="94">
        <v>225</v>
      </c>
      <c r="J117" s="49" t="s">
        <v>36</v>
      </c>
      <c r="K117" s="49" t="s">
        <v>37</v>
      </c>
    </row>
    <row r="118" spans="1:11" ht="15.75" customHeight="1">
      <c r="A118" s="92">
        <v>9</v>
      </c>
      <c r="B118" s="49" t="s">
        <v>1099</v>
      </c>
      <c r="C118" s="49" t="s">
        <v>227</v>
      </c>
      <c r="D118" s="49" t="s">
        <v>32</v>
      </c>
      <c r="E118" s="49" t="s">
        <v>251</v>
      </c>
      <c r="F118" s="49"/>
      <c r="G118" s="49" t="s">
        <v>120</v>
      </c>
      <c r="H118" s="49">
        <v>16</v>
      </c>
      <c r="I118" s="94">
        <v>80</v>
      </c>
      <c r="J118" s="49" t="s">
        <v>36</v>
      </c>
      <c r="K118" s="49" t="s">
        <v>37</v>
      </c>
    </row>
    <row r="119" spans="1:11" ht="15.75" customHeight="1">
      <c r="A119" s="92">
        <v>9</v>
      </c>
      <c r="B119" s="49" t="s">
        <v>1100</v>
      </c>
      <c r="C119" s="49" t="s">
        <v>246</v>
      </c>
      <c r="D119" s="49" t="s">
        <v>1101</v>
      </c>
      <c r="E119" s="49" t="s">
        <v>1102</v>
      </c>
      <c r="F119" s="49"/>
      <c r="G119" s="49" t="s">
        <v>1103</v>
      </c>
      <c r="H119" s="49">
        <v>100</v>
      </c>
      <c r="I119" s="94">
        <v>60</v>
      </c>
      <c r="J119" s="49" t="s">
        <v>36</v>
      </c>
      <c r="K119" s="49" t="s">
        <v>37</v>
      </c>
    </row>
    <row r="120" spans="1:11" ht="15.75" customHeight="1">
      <c r="A120" s="92">
        <v>9</v>
      </c>
      <c r="B120" s="49" t="s">
        <v>1100</v>
      </c>
      <c r="C120" s="49" t="s">
        <v>246</v>
      </c>
      <c r="D120" s="49" t="s">
        <v>1101</v>
      </c>
      <c r="E120" s="49" t="s">
        <v>1102</v>
      </c>
      <c r="F120" s="49"/>
      <c r="G120" s="49" t="s">
        <v>120</v>
      </c>
      <c r="H120" s="49">
        <v>28</v>
      </c>
      <c r="I120" s="94">
        <v>140</v>
      </c>
      <c r="J120" s="49" t="s">
        <v>36</v>
      </c>
      <c r="K120" s="49" t="s">
        <v>37</v>
      </c>
    </row>
    <row r="121" spans="1:11" ht="15.75" customHeight="1">
      <c r="A121" s="92">
        <v>11</v>
      </c>
      <c r="B121" s="49" t="s">
        <v>1104</v>
      </c>
      <c r="C121" s="49" t="s">
        <v>227</v>
      </c>
      <c r="D121" s="49" t="s">
        <v>928</v>
      </c>
      <c r="E121" s="49" t="s">
        <v>48</v>
      </c>
      <c r="F121" s="49"/>
      <c r="G121" s="49" t="s">
        <v>35</v>
      </c>
      <c r="H121" s="49">
        <v>500</v>
      </c>
      <c r="I121" s="94">
        <v>75</v>
      </c>
      <c r="J121" s="49" t="s">
        <v>36</v>
      </c>
      <c r="K121" s="49" t="s">
        <v>37</v>
      </c>
    </row>
    <row r="122" spans="1:11" ht="15.75" customHeight="1">
      <c r="A122" s="92">
        <v>11</v>
      </c>
      <c r="B122" s="49" t="s">
        <v>1105</v>
      </c>
      <c r="C122" s="49" t="s">
        <v>227</v>
      </c>
      <c r="D122" s="49" t="s">
        <v>382</v>
      </c>
      <c r="E122" s="49" t="s">
        <v>48</v>
      </c>
      <c r="F122" s="49"/>
      <c r="G122" s="49" t="s">
        <v>120</v>
      </c>
      <c r="H122" s="49">
        <v>35</v>
      </c>
      <c r="I122" s="94">
        <v>250</v>
      </c>
      <c r="J122" s="49" t="s">
        <v>36</v>
      </c>
      <c r="K122" s="49" t="s">
        <v>37</v>
      </c>
    </row>
    <row r="123" spans="1:11" ht="15.75" customHeight="1">
      <c r="A123" s="92">
        <v>11</v>
      </c>
      <c r="B123" s="49" t="s">
        <v>1106</v>
      </c>
      <c r="C123" s="49" t="s">
        <v>227</v>
      </c>
      <c r="D123" s="49" t="s">
        <v>1030</v>
      </c>
      <c r="E123" s="49" t="s">
        <v>251</v>
      </c>
      <c r="F123" s="49"/>
      <c r="G123" s="49" t="s">
        <v>120</v>
      </c>
      <c r="H123" s="49">
        <v>20</v>
      </c>
      <c r="I123" s="94">
        <v>100</v>
      </c>
      <c r="J123" s="49" t="s">
        <v>36</v>
      </c>
      <c r="K123" s="49" t="s">
        <v>37</v>
      </c>
    </row>
    <row r="124" spans="1:11" ht="15.75" customHeight="1">
      <c r="A124" s="92">
        <v>11</v>
      </c>
      <c r="B124" s="49" t="s">
        <v>1107</v>
      </c>
      <c r="C124" s="49" t="s">
        <v>227</v>
      </c>
      <c r="D124" s="49" t="s">
        <v>604</v>
      </c>
      <c r="E124" s="49" t="s">
        <v>235</v>
      </c>
      <c r="F124" s="49"/>
      <c r="G124" s="49" t="s">
        <v>35</v>
      </c>
      <c r="H124" s="50">
        <v>6500</v>
      </c>
      <c r="I124" s="94">
        <v>1625</v>
      </c>
      <c r="J124" s="49" t="s">
        <v>36</v>
      </c>
      <c r="K124" s="49" t="s">
        <v>37</v>
      </c>
    </row>
    <row r="125" spans="1:11" ht="15.75" customHeight="1">
      <c r="A125" s="92">
        <v>11</v>
      </c>
      <c r="B125" s="49" t="s">
        <v>1108</v>
      </c>
      <c r="C125" s="49" t="s">
        <v>227</v>
      </c>
      <c r="D125" s="49" t="s">
        <v>1109</v>
      </c>
      <c r="E125" s="49" t="s">
        <v>251</v>
      </c>
      <c r="F125" s="49"/>
      <c r="G125" s="49" t="s">
        <v>120</v>
      </c>
      <c r="H125" s="49">
        <v>20</v>
      </c>
      <c r="I125" s="94">
        <v>100</v>
      </c>
      <c r="J125" s="49" t="s">
        <v>36</v>
      </c>
      <c r="K125" s="49" t="s">
        <v>37</v>
      </c>
    </row>
    <row r="126" spans="1:11" ht="15.75" customHeight="1">
      <c r="A126" s="92">
        <v>11</v>
      </c>
      <c r="B126" s="49" t="s">
        <v>1110</v>
      </c>
      <c r="C126" s="49" t="s">
        <v>227</v>
      </c>
      <c r="D126" s="49" t="s">
        <v>499</v>
      </c>
      <c r="E126" s="49" t="s">
        <v>251</v>
      </c>
      <c r="F126" s="49"/>
      <c r="G126" s="49" t="s">
        <v>35</v>
      </c>
      <c r="H126" s="49">
        <v>100</v>
      </c>
      <c r="I126" s="94">
        <v>25</v>
      </c>
      <c r="J126" s="49" t="s">
        <v>36</v>
      </c>
      <c r="K126" s="49" t="s">
        <v>37</v>
      </c>
    </row>
    <row r="127" spans="1:11" ht="15.75" customHeight="1">
      <c r="A127" s="92">
        <v>11</v>
      </c>
      <c r="B127" s="49" t="s">
        <v>1111</v>
      </c>
      <c r="C127" s="49" t="s">
        <v>227</v>
      </c>
      <c r="D127" s="49" t="s">
        <v>1112</v>
      </c>
      <c r="E127" s="49" t="s">
        <v>199</v>
      </c>
      <c r="F127" s="49"/>
      <c r="G127" s="49" t="s">
        <v>35</v>
      </c>
      <c r="H127" s="50">
        <v>1300</v>
      </c>
      <c r="I127" s="94">
        <v>325</v>
      </c>
      <c r="J127" s="49" t="s">
        <v>36</v>
      </c>
      <c r="K127" s="49" t="s">
        <v>37</v>
      </c>
    </row>
    <row r="128" spans="1:11" ht="15.75" customHeight="1">
      <c r="A128" s="92">
        <v>11</v>
      </c>
      <c r="B128" s="49" t="s">
        <v>1113</v>
      </c>
      <c r="C128" s="49" t="s">
        <v>227</v>
      </c>
      <c r="D128" s="49" t="s">
        <v>262</v>
      </c>
      <c r="E128" s="49" t="s">
        <v>232</v>
      </c>
      <c r="F128" s="49"/>
      <c r="G128" s="49" t="s">
        <v>35</v>
      </c>
      <c r="H128" s="49">
        <v>300</v>
      </c>
      <c r="I128" s="94">
        <v>75</v>
      </c>
      <c r="J128" s="49" t="s">
        <v>36</v>
      </c>
      <c r="K128" s="49" t="s">
        <v>37</v>
      </c>
    </row>
    <row r="129" spans="1:11" ht="15.75" customHeight="1">
      <c r="A129" s="92">
        <v>11</v>
      </c>
      <c r="B129" s="49" t="s">
        <v>1114</v>
      </c>
      <c r="C129" s="49" t="s">
        <v>227</v>
      </c>
      <c r="D129" s="49" t="s">
        <v>326</v>
      </c>
      <c r="E129" s="49" t="s">
        <v>199</v>
      </c>
      <c r="F129" s="49"/>
      <c r="G129" s="49" t="s">
        <v>35</v>
      </c>
      <c r="H129" s="49">
        <v>200</v>
      </c>
      <c r="I129" s="94">
        <v>50</v>
      </c>
      <c r="J129" s="49" t="s">
        <v>36</v>
      </c>
      <c r="K129" s="49" t="s">
        <v>37</v>
      </c>
    </row>
    <row r="130" spans="1:11" ht="15.75" customHeight="1">
      <c r="A130" s="92">
        <v>11</v>
      </c>
      <c r="B130" s="49" t="s">
        <v>1115</v>
      </c>
      <c r="C130" s="49" t="s">
        <v>227</v>
      </c>
      <c r="D130" s="49" t="s">
        <v>198</v>
      </c>
      <c r="E130" s="49" t="s">
        <v>199</v>
      </c>
      <c r="F130" s="49"/>
      <c r="G130" s="49" t="s">
        <v>35</v>
      </c>
      <c r="H130" s="50">
        <v>2000</v>
      </c>
      <c r="I130" s="94">
        <v>300</v>
      </c>
      <c r="J130" s="49" t="s">
        <v>36</v>
      </c>
      <c r="K130" s="49" t="s">
        <v>37</v>
      </c>
    </row>
    <row r="131" spans="1:11" ht="15.75" customHeight="1">
      <c r="A131" s="92">
        <v>11</v>
      </c>
      <c r="B131" s="49" t="s">
        <v>1116</v>
      </c>
      <c r="C131" s="49" t="s">
        <v>246</v>
      </c>
      <c r="D131" s="49"/>
      <c r="E131" s="49" t="s">
        <v>75</v>
      </c>
      <c r="F131" s="49"/>
      <c r="G131" s="49" t="s">
        <v>103</v>
      </c>
      <c r="H131" s="48" t="s">
        <v>1117</v>
      </c>
      <c r="I131" s="94">
        <v>8000</v>
      </c>
      <c r="J131" s="49" t="s">
        <v>36</v>
      </c>
      <c r="K131" s="49" t="s">
        <v>37</v>
      </c>
    </row>
    <row r="132" spans="1:11" ht="15.75" customHeight="1">
      <c r="A132" s="92">
        <v>12</v>
      </c>
      <c r="B132" s="49" t="s">
        <v>1118</v>
      </c>
      <c r="C132" s="49" t="s">
        <v>227</v>
      </c>
      <c r="D132" s="49" t="s">
        <v>262</v>
      </c>
      <c r="E132" s="49" t="s">
        <v>232</v>
      </c>
      <c r="F132" s="49"/>
      <c r="G132" s="49" t="s">
        <v>35</v>
      </c>
      <c r="H132" s="50">
        <v>1000</v>
      </c>
      <c r="I132" s="94">
        <v>250</v>
      </c>
      <c r="J132" s="49" t="s">
        <v>36</v>
      </c>
      <c r="K132" s="49" t="s">
        <v>37</v>
      </c>
    </row>
    <row r="133" spans="1:11" ht="15.75" customHeight="1">
      <c r="A133" s="92">
        <v>12</v>
      </c>
      <c r="B133" s="49" t="s">
        <v>1119</v>
      </c>
      <c r="C133" s="49" t="s">
        <v>227</v>
      </c>
      <c r="D133" s="49" t="s">
        <v>1120</v>
      </c>
      <c r="E133" s="49" t="s">
        <v>75</v>
      </c>
      <c r="F133" s="49"/>
      <c r="G133" s="49" t="s">
        <v>35</v>
      </c>
      <c r="H133" s="50">
        <v>1500</v>
      </c>
      <c r="I133" s="94">
        <v>375</v>
      </c>
      <c r="J133" s="49" t="s">
        <v>36</v>
      </c>
      <c r="K133" s="49" t="s">
        <v>37</v>
      </c>
    </row>
    <row r="134" spans="1:11" ht="15.75" customHeight="1">
      <c r="A134" s="92">
        <v>12</v>
      </c>
      <c r="B134" s="49" t="s">
        <v>1121</v>
      </c>
      <c r="C134" s="49" t="s">
        <v>227</v>
      </c>
      <c r="D134" s="49" t="s">
        <v>321</v>
      </c>
      <c r="E134" s="49" t="s">
        <v>251</v>
      </c>
      <c r="F134" s="49"/>
      <c r="G134" s="49" t="s">
        <v>35</v>
      </c>
      <c r="H134" s="49">
        <v>400</v>
      </c>
      <c r="I134" s="94">
        <v>100</v>
      </c>
      <c r="J134" s="49" t="s">
        <v>36</v>
      </c>
      <c r="K134" s="49" t="s">
        <v>37</v>
      </c>
    </row>
    <row r="135" spans="1:11" ht="15.75" customHeight="1">
      <c r="A135" s="92">
        <v>12</v>
      </c>
      <c r="B135" s="49" t="s">
        <v>1121</v>
      </c>
      <c r="C135" s="49" t="s">
        <v>227</v>
      </c>
      <c r="D135" s="49" t="s">
        <v>321</v>
      </c>
      <c r="E135" s="49" t="s">
        <v>251</v>
      </c>
      <c r="F135" s="49"/>
      <c r="G135" s="49" t="s">
        <v>120</v>
      </c>
      <c r="H135" s="49">
        <v>60</v>
      </c>
      <c r="I135" s="94">
        <v>300</v>
      </c>
      <c r="J135" s="49" t="s">
        <v>36</v>
      </c>
      <c r="K135" s="49" t="s">
        <v>37</v>
      </c>
    </row>
    <row r="136" spans="1:11" ht="15.75" customHeight="1">
      <c r="A136" s="92">
        <v>12</v>
      </c>
      <c r="B136" s="49" t="s">
        <v>1122</v>
      </c>
      <c r="C136" s="49" t="s">
        <v>227</v>
      </c>
      <c r="D136" s="49" t="s">
        <v>517</v>
      </c>
      <c r="E136" s="49" t="s">
        <v>232</v>
      </c>
      <c r="F136" s="49"/>
      <c r="G136" s="49" t="s">
        <v>35</v>
      </c>
      <c r="H136" s="50">
        <v>1500</v>
      </c>
      <c r="I136" s="94">
        <v>375</v>
      </c>
      <c r="J136" s="49" t="s">
        <v>36</v>
      </c>
      <c r="K136" s="49" t="s">
        <v>37</v>
      </c>
    </row>
    <row r="137" spans="1:11" ht="15.75" customHeight="1">
      <c r="A137" s="92">
        <v>13</v>
      </c>
      <c r="B137" s="49" t="s">
        <v>1123</v>
      </c>
      <c r="C137" s="49" t="s">
        <v>246</v>
      </c>
      <c r="D137" s="49" t="s">
        <v>1092</v>
      </c>
      <c r="E137" s="49" t="s">
        <v>254</v>
      </c>
      <c r="F137" s="49"/>
      <c r="G137" s="49" t="s">
        <v>120</v>
      </c>
      <c r="H137" s="50">
        <v>20</v>
      </c>
      <c r="I137" s="94">
        <v>100</v>
      </c>
      <c r="J137" s="49" t="s">
        <v>36</v>
      </c>
      <c r="K137" s="49" t="s">
        <v>37</v>
      </c>
    </row>
    <row r="138" spans="1:11" ht="15.75" customHeight="1">
      <c r="A138" s="92">
        <v>13</v>
      </c>
      <c r="B138" s="49" t="s">
        <v>1123</v>
      </c>
      <c r="C138" s="49" t="s">
        <v>246</v>
      </c>
      <c r="D138" s="49" t="s">
        <v>1092</v>
      </c>
      <c r="E138" s="49" t="s">
        <v>254</v>
      </c>
      <c r="F138" s="49"/>
      <c r="G138" s="49" t="s">
        <v>120</v>
      </c>
      <c r="H138" s="50">
        <v>15</v>
      </c>
      <c r="I138" s="94">
        <v>150</v>
      </c>
      <c r="J138" s="49" t="s">
        <v>36</v>
      </c>
      <c r="K138" s="49" t="s">
        <v>37</v>
      </c>
    </row>
    <row r="139" spans="1:11" ht="15.75" customHeight="1">
      <c r="A139" s="92">
        <v>13</v>
      </c>
      <c r="B139" s="49" t="s">
        <v>1124</v>
      </c>
      <c r="C139" s="49" t="s">
        <v>227</v>
      </c>
      <c r="D139" s="49" t="s">
        <v>360</v>
      </c>
      <c r="E139" s="49" t="s">
        <v>48</v>
      </c>
      <c r="F139" s="49"/>
      <c r="G139" s="49" t="s">
        <v>35</v>
      </c>
      <c r="H139" s="50">
        <v>1000</v>
      </c>
      <c r="I139" s="94">
        <v>250</v>
      </c>
      <c r="J139" s="49" t="s">
        <v>36</v>
      </c>
      <c r="K139" s="49" t="s">
        <v>37</v>
      </c>
    </row>
    <row r="140" spans="1:11" ht="15.75" customHeight="1">
      <c r="A140" s="92">
        <v>13</v>
      </c>
      <c r="B140" s="49" t="s">
        <v>1125</v>
      </c>
      <c r="C140" s="49" t="s">
        <v>227</v>
      </c>
      <c r="D140" s="49" t="s">
        <v>32</v>
      </c>
      <c r="E140" s="49" t="s">
        <v>241</v>
      </c>
      <c r="F140" s="49"/>
      <c r="G140" s="49" t="s">
        <v>35</v>
      </c>
      <c r="H140" s="50">
        <v>500</v>
      </c>
      <c r="I140" s="94"/>
      <c r="J140" s="49" t="s">
        <v>43</v>
      </c>
      <c r="K140" s="49" t="s">
        <v>37</v>
      </c>
    </row>
    <row r="141" spans="1:11" ht="15.75" customHeight="1">
      <c r="A141" s="92">
        <v>13</v>
      </c>
      <c r="B141" s="49" t="s">
        <v>1125</v>
      </c>
      <c r="C141" s="49" t="s">
        <v>227</v>
      </c>
      <c r="D141" s="49" t="s">
        <v>32</v>
      </c>
      <c r="E141" s="49" t="s">
        <v>241</v>
      </c>
      <c r="F141" s="49"/>
      <c r="G141" s="49" t="s">
        <v>120</v>
      </c>
      <c r="H141" s="50">
        <v>20</v>
      </c>
      <c r="I141" s="94">
        <v>100</v>
      </c>
      <c r="J141" s="49" t="s">
        <v>36</v>
      </c>
      <c r="K141" s="49" t="s">
        <v>536</v>
      </c>
    </row>
    <row r="142" spans="1:11" ht="15.75" customHeight="1">
      <c r="A142" s="92">
        <v>13</v>
      </c>
      <c r="B142" s="49" t="s">
        <v>1126</v>
      </c>
      <c r="C142" s="49" t="s">
        <v>227</v>
      </c>
      <c r="D142" s="49" t="s">
        <v>444</v>
      </c>
      <c r="E142" s="49" t="s">
        <v>235</v>
      </c>
      <c r="F142" s="49"/>
      <c r="G142" s="49" t="s">
        <v>35</v>
      </c>
      <c r="H142" s="50">
        <v>100</v>
      </c>
      <c r="I142" s="94">
        <v>25</v>
      </c>
      <c r="J142" s="49" t="s">
        <v>36</v>
      </c>
      <c r="K142" s="49" t="s">
        <v>37</v>
      </c>
    </row>
    <row r="143" spans="1:11" ht="15.75" customHeight="1">
      <c r="A143" s="92">
        <v>13</v>
      </c>
      <c r="B143" s="49" t="s">
        <v>1126</v>
      </c>
      <c r="C143" s="49" t="s">
        <v>227</v>
      </c>
      <c r="D143" s="49" t="s">
        <v>444</v>
      </c>
      <c r="E143" s="49" t="s">
        <v>235</v>
      </c>
      <c r="F143" s="49"/>
      <c r="G143" s="49" t="s">
        <v>120</v>
      </c>
      <c r="H143" s="50">
        <v>20</v>
      </c>
      <c r="I143" s="94">
        <v>100</v>
      </c>
      <c r="J143" s="49" t="s">
        <v>36</v>
      </c>
      <c r="K143" s="49" t="s">
        <v>37</v>
      </c>
    </row>
    <row r="144" spans="1:11" ht="15.75" customHeight="1">
      <c r="A144" s="92">
        <v>13</v>
      </c>
      <c r="B144" s="49" t="s">
        <v>542</v>
      </c>
      <c r="C144" s="49" t="s">
        <v>227</v>
      </c>
      <c r="D144" s="49" t="s">
        <v>354</v>
      </c>
      <c r="E144" s="49" t="s">
        <v>251</v>
      </c>
      <c r="F144" s="49"/>
      <c r="G144" s="49" t="s">
        <v>35</v>
      </c>
      <c r="H144" s="50">
        <v>160</v>
      </c>
      <c r="I144" s="94">
        <v>40</v>
      </c>
      <c r="J144" s="49" t="s">
        <v>36</v>
      </c>
      <c r="K144" s="49" t="s">
        <v>37</v>
      </c>
    </row>
    <row r="145" spans="1:11" ht="15.75" customHeight="1">
      <c r="A145" s="92">
        <v>14</v>
      </c>
      <c r="B145" s="49" t="s">
        <v>1127</v>
      </c>
      <c r="C145" s="49" t="s">
        <v>227</v>
      </c>
      <c r="D145" s="49" t="s">
        <v>1128</v>
      </c>
      <c r="E145" s="49" t="s">
        <v>48</v>
      </c>
      <c r="F145" s="49"/>
      <c r="G145" s="49" t="s">
        <v>35</v>
      </c>
      <c r="H145" s="50">
        <v>300</v>
      </c>
      <c r="I145" s="94">
        <v>45</v>
      </c>
      <c r="J145" s="49" t="s">
        <v>36</v>
      </c>
      <c r="K145" s="49" t="s">
        <v>37</v>
      </c>
    </row>
    <row r="146" spans="1:11" ht="15.75" customHeight="1">
      <c r="A146" s="92">
        <v>14</v>
      </c>
      <c r="B146" s="49" t="s">
        <v>1129</v>
      </c>
      <c r="C146" s="49" t="s">
        <v>227</v>
      </c>
      <c r="D146" s="49" t="s">
        <v>792</v>
      </c>
      <c r="E146" s="49" t="s">
        <v>722</v>
      </c>
      <c r="F146" s="49"/>
      <c r="G146" s="49" t="s">
        <v>35</v>
      </c>
      <c r="H146" s="50">
        <v>300</v>
      </c>
      <c r="I146" s="94">
        <v>45</v>
      </c>
      <c r="J146" s="49" t="s">
        <v>36</v>
      </c>
      <c r="K146" s="49" t="s">
        <v>37</v>
      </c>
    </row>
    <row r="147" spans="1:11" ht="15.75" customHeight="1">
      <c r="A147" s="92">
        <v>14</v>
      </c>
      <c r="B147" s="49" t="s">
        <v>1130</v>
      </c>
      <c r="C147" s="49" t="s">
        <v>227</v>
      </c>
      <c r="D147" s="49" t="s">
        <v>900</v>
      </c>
      <c r="E147" s="49" t="s">
        <v>156</v>
      </c>
      <c r="F147" s="49"/>
      <c r="G147" s="49" t="s">
        <v>35</v>
      </c>
      <c r="H147" s="50">
        <v>2000</v>
      </c>
      <c r="I147" s="94">
        <v>300</v>
      </c>
      <c r="J147" s="49" t="s">
        <v>36</v>
      </c>
      <c r="K147" s="49" t="s">
        <v>37</v>
      </c>
    </row>
    <row r="148" spans="1:11" ht="15.75" customHeight="1">
      <c r="A148" s="92">
        <v>14</v>
      </c>
      <c r="B148" s="49" t="s">
        <v>1131</v>
      </c>
      <c r="C148" s="49" t="s">
        <v>246</v>
      </c>
      <c r="D148" s="49" t="s">
        <v>604</v>
      </c>
      <c r="E148" s="49" t="s">
        <v>235</v>
      </c>
      <c r="F148" s="49"/>
      <c r="G148" s="49" t="s">
        <v>103</v>
      </c>
      <c r="H148" s="95" t="s">
        <v>1132</v>
      </c>
      <c r="I148" s="94">
        <v>800</v>
      </c>
      <c r="J148" s="49" t="s">
        <v>36</v>
      </c>
      <c r="K148" s="49" t="s">
        <v>37</v>
      </c>
    </row>
    <row r="149" spans="1:11" ht="15.75" customHeight="1">
      <c r="A149" s="92">
        <v>15</v>
      </c>
      <c r="B149" s="49" t="s">
        <v>1133</v>
      </c>
      <c r="C149" s="49" t="s">
        <v>227</v>
      </c>
      <c r="D149" s="49" t="s">
        <v>231</v>
      </c>
      <c r="E149" s="49" t="s">
        <v>232</v>
      </c>
      <c r="F149" s="49"/>
      <c r="G149" s="49" t="s">
        <v>35</v>
      </c>
      <c r="H149" s="50">
        <v>10000</v>
      </c>
      <c r="I149" s="94">
        <v>1500</v>
      </c>
      <c r="J149" s="49" t="s">
        <v>36</v>
      </c>
      <c r="K149" s="49" t="s">
        <v>37</v>
      </c>
    </row>
    <row r="150" spans="1:11" ht="15.75" customHeight="1">
      <c r="A150" s="92">
        <v>15</v>
      </c>
      <c r="B150" s="49" t="s">
        <v>1134</v>
      </c>
      <c r="C150" s="49" t="s">
        <v>227</v>
      </c>
      <c r="D150" s="49" t="s">
        <v>326</v>
      </c>
      <c r="E150" s="49" t="s">
        <v>199</v>
      </c>
      <c r="F150" s="49"/>
      <c r="G150" s="49" t="s">
        <v>35</v>
      </c>
      <c r="H150" s="50">
        <v>12000</v>
      </c>
      <c r="I150" s="94">
        <v>3000</v>
      </c>
      <c r="J150" s="49" t="s">
        <v>36</v>
      </c>
      <c r="K150" s="49" t="s">
        <v>37</v>
      </c>
    </row>
    <row r="151" spans="1:11" ht="15.75" customHeight="1">
      <c r="A151" s="92">
        <v>15</v>
      </c>
      <c r="B151" s="49" t="s">
        <v>1135</v>
      </c>
      <c r="C151" s="49" t="s">
        <v>227</v>
      </c>
      <c r="D151" s="49"/>
      <c r="E151" s="49" t="s">
        <v>75</v>
      </c>
      <c r="F151" s="49"/>
      <c r="G151" s="49" t="s">
        <v>103</v>
      </c>
      <c r="H151" s="95" t="s">
        <v>1136</v>
      </c>
      <c r="I151" s="94">
        <v>1600</v>
      </c>
      <c r="J151" s="49" t="s">
        <v>36</v>
      </c>
      <c r="K151" s="49" t="s">
        <v>37</v>
      </c>
    </row>
    <row r="152" spans="1:11" ht="15.75" customHeight="1">
      <c r="A152" s="92">
        <v>15</v>
      </c>
      <c r="B152" s="49" t="s">
        <v>1137</v>
      </c>
      <c r="C152" s="49" t="s">
        <v>227</v>
      </c>
      <c r="D152" s="49"/>
      <c r="E152" s="49" t="s">
        <v>75</v>
      </c>
      <c r="F152" s="49"/>
      <c r="G152" s="49" t="s">
        <v>103</v>
      </c>
      <c r="H152" s="95" t="s">
        <v>1138</v>
      </c>
      <c r="I152" s="94">
        <v>6400</v>
      </c>
      <c r="J152" s="49" t="s">
        <v>36</v>
      </c>
      <c r="K152" s="49" t="s">
        <v>37</v>
      </c>
    </row>
    <row r="153" spans="1:11" ht="15.75" customHeight="1">
      <c r="A153" s="92">
        <v>15</v>
      </c>
      <c r="B153" s="49" t="s">
        <v>1139</v>
      </c>
      <c r="C153" s="49" t="s">
        <v>246</v>
      </c>
      <c r="D153" s="49"/>
      <c r="E153" s="49" t="s">
        <v>75</v>
      </c>
      <c r="F153" s="49"/>
      <c r="G153" s="49" t="s">
        <v>103</v>
      </c>
      <c r="H153" s="95" t="s">
        <v>1140</v>
      </c>
      <c r="I153" s="94">
        <v>2400</v>
      </c>
      <c r="J153" s="49" t="s">
        <v>36</v>
      </c>
      <c r="K153" s="49" t="s">
        <v>37</v>
      </c>
    </row>
    <row r="154" spans="1:11" ht="15.75" customHeight="1">
      <c r="A154" s="92">
        <v>15</v>
      </c>
      <c r="B154" s="49" t="s">
        <v>1116</v>
      </c>
      <c r="C154" s="49" t="s">
        <v>246</v>
      </c>
      <c r="D154" s="49"/>
      <c r="E154" s="49" t="s">
        <v>75</v>
      </c>
      <c r="F154" s="49"/>
      <c r="G154" s="49" t="s">
        <v>103</v>
      </c>
      <c r="H154" s="95" t="s">
        <v>1140</v>
      </c>
      <c r="I154" s="94">
        <v>2400</v>
      </c>
      <c r="J154" s="49" t="s">
        <v>36</v>
      </c>
      <c r="K154" s="49" t="s">
        <v>37</v>
      </c>
    </row>
    <row r="155" spans="1:11" ht="15.75" customHeight="1">
      <c r="A155" s="92">
        <v>15</v>
      </c>
      <c r="B155" s="49" t="s">
        <v>1141</v>
      </c>
      <c r="C155" s="49" t="s">
        <v>246</v>
      </c>
      <c r="D155" s="49" t="s">
        <v>33</v>
      </c>
      <c r="E155" s="49" t="s">
        <v>254</v>
      </c>
      <c r="F155" s="49"/>
      <c r="G155" s="49" t="s">
        <v>35</v>
      </c>
      <c r="H155" s="50">
        <v>100</v>
      </c>
      <c r="I155" s="94">
        <v>25</v>
      </c>
      <c r="J155" s="49" t="s">
        <v>36</v>
      </c>
      <c r="K155" s="49" t="s">
        <v>37</v>
      </c>
    </row>
    <row r="156" spans="1:11" ht="15.75" customHeight="1">
      <c r="A156" s="92">
        <v>16</v>
      </c>
      <c r="B156" s="49" t="s">
        <v>1116</v>
      </c>
      <c r="C156" s="49" t="s">
        <v>246</v>
      </c>
      <c r="D156" s="49"/>
      <c r="E156" s="49" t="s">
        <v>75</v>
      </c>
      <c r="F156" s="49"/>
      <c r="G156" s="49" t="s">
        <v>103</v>
      </c>
      <c r="H156" s="95" t="s">
        <v>1142</v>
      </c>
      <c r="I156" s="94">
        <v>12960</v>
      </c>
      <c r="J156" s="49" t="s">
        <v>36</v>
      </c>
      <c r="K156" s="49" t="s">
        <v>37</v>
      </c>
    </row>
    <row r="157" spans="1:11" ht="15.75" customHeight="1">
      <c r="A157" s="92">
        <v>16</v>
      </c>
      <c r="B157" s="49" t="s">
        <v>1143</v>
      </c>
      <c r="C157" s="49" t="s">
        <v>246</v>
      </c>
      <c r="D157" s="49" t="s">
        <v>604</v>
      </c>
      <c r="E157" s="49" t="s">
        <v>235</v>
      </c>
      <c r="F157" s="49"/>
      <c r="G157" s="49" t="s">
        <v>103</v>
      </c>
      <c r="H157" s="95" t="s">
        <v>1144</v>
      </c>
      <c r="I157" s="94">
        <v>240</v>
      </c>
      <c r="J157" s="49" t="s">
        <v>36</v>
      </c>
      <c r="K157" s="49" t="s">
        <v>37</v>
      </c>
    </row>
    <row r="158" spans="1:11" ht="15.75" customHeight="1">
      <c r="A158" s="92">
        <v>16</v>
      </c>
      <c r="B158" s="49" t="s">
        <v>1145</v>
      </c>
      <c r="C158" s="49" t="s">
        <v>227</v>
      </c>
      <c r="D158" s="49" t="s">
        <v>418</v>
      </c>
      <c r="E158" s="49" t="s">
        <v>307</v>
      </c>
      <c r="F158" s="49"/>
      <c r="G158" s="49" t="s">
        <v>103</v>
      </c>
      <c r="H158" s="95" t="s">
        <v>1146</v>
      </c>
      <c r="I158" s="94">
        <v>320</v>
      </c>
      <c r="J158" s="49" t="s">
        <v>36</v>
      </c>
      <c r="K158" s="49" t="s">
        <v>37</v>
      </c>
    </row>
    <row r="159" spans="1:11" ht="15.75" customHeight="1">
      <c r="A159" s="92">
        <v>16</v>
      </c>
      <c r="B159" s="49" t="s">
        <v>968</v>
      </c>
      <c r="C159" s="49" t="s">
        <v>227</v>
      </c>
      <c r="D159" s="49" t="s">
        <v>40</v>
      </c>
      <c r="E159" s="49" t="s">
        <v>41</v>
      </c>
      <c r="F159" s="49"/>
      <c r="G159" s="49" t="s">
        <v>35</v>
      </c>
      <c r="H159" s="50">
        <v>600</v>
      </c>
      <c r="I159" s="94">
        <v>90</v>
      </c>
      <c r="J159" s="49" t="s">
        <v>36</v>
      </c>
      <c r="K159" s="49" t="s">
        <v>37</v>
      </c>
    </row>
    <row r="160" spans="1:11" ht="15.75" customHeight="1">
      <c r="A160" s="92">
        <v>16</v>
      </c>
      <c r="B160" s="49" t="s">
        <v>955</v>
      </c>
      <c r="C160" s="49" t="s">
        <v>227</v>
      </c>
      <c r="D160" s="49" t="s">
        <v>272</v>
      </c>
      <c r="E160" s="49" t="s">
        <v>193</v>
      </c>
      <c r="F160" s="49"/>
      <c r="G160" s="49" t="s">
        <v>1103</v>
      </c>
      <c r="H160" s="50">
        <v>650</v>
      </c>
      <c r="I160" s="94">
        <v>650</v>
      </c>
      <c r="J160" s="49" t="s">
        <v>36</v>
      </c>
      <c r="K160" s="49" t="s">
        <v>37</v>
      </c>
    </row>
    <row r="161" spans="1:11" ht="15.75" customHeight="1">
      <c r="A161" s="92">
        <v>16</v>
      </c>
      <c r="B161" s="49" t="s">
        <v>955</v>
      </c>
      <c r="C161" s="49" t="s">
        <v>227</v>
      </c>
      <c r="D161" s="49" t="s">
        <v>272</v>
      </c>
      <c r="E161" s="49" t="s">
        <v>193</v>
      </c>
      <c r="F161" s="49"/>
      <c r="G161" s="49" t="s">
        <v>120</v>
      </c>
      <c r="H161" s="50">
        <v>110</v>
      </c>
      <c r="I161" s="94">
        <v>550</v>
      </c>
      <c r="J161" s="49" t="s">
        <v>36</v>
      </c>
      <c r="K161" s="49" t="s">
        <v>37</v>
      </c>
    </row>
    <row r="162" spans="1:11" ht="15.75" customHeight="1">
      <c r="A162" s="92">
        <v>16</v>
      </c>
      <c r="B162" s="49" t="s">
        <v>731</v>
      </c>
      <c r="C162" s="49" t="s">
        <v>227</v>
      </c>
      <c r="D162" s="49" t="s">
        <v>607</v>
      </c>
      <c r="E162" s="49" t="s">
        <v>235</v>
      </c>
      <c r="F162" s="49"/>
      <c r="G162" s="49" t="s">
        <v>120</v>
      </c>
      <c r="H162" s="50">
        <v>13</v>
      </c>
      <c r="I162" s="94">
        <v>65</v>
      </c>
      <c r="J162" s="49" t="s">
        <v>36</v>
      </c>
      <c r="K162" s="49" t="s">
        <v>37</v>
      </c>
    </row>
    <row r="163" spans="1:11" ht="15.75" customHeight="1">
      <c r="A163" s="92">
        <v>16</v>
      </c>
      <c r="B163" s="49" t="s">
        <v>1147</v>
      </c>
      <c r="C163" s="49" t="s">
        <v>227</v>
      </c>
      <c r="D163" s="49"/>
      <c r="E163" s="49" t="s">
        <v>75</v>
      </c>
      <c r="F163" s="49"/>
      <c r="G163" s="49" t="s">
        <v>103</v>
      </c>
      <c r="H163" s="95" t="s">
        <v>1148</v>
      </c>
      <c r="I163" s="94">
        <v>160</v>
      </c>
      <c r="J163" s="49" t="s">
        <v>36</v>
      </c>
      <c r="K163" s="49" t="s">
        <v>37</v>
      </c>
    </row>
    <row r="164" spans="1:11" ht="15.75" customHeight="1">
      <c r="A164" s="92">
        <v>17</v>
      </c>
      <c r="B164" s="49" t="s">
        <v>1149</v>
      </c>
      <c r="C164" s="49" t="s">
        <v>227</v>
      </c>
      <c r="D164" s="49" t="s">
        <v>619</v>
      </c>
      <c r="E164" s="49" t="s">
        <v>33</v>
      </c>
      <c r="F164" s="49"/>
      <c r="G164" s="49" t="s">
        <v>35</v>
      </c>
      <c r="H164" s="50">
        <v>100</v>
      </c>
      <c r="I164" s="94">
        <v>15</v>
      </c>
      <c r="J164" s="49" t="s">
        <v>36</v>
      </c>
      <c r="K164" s="49" t="s">
        <v>37</v>
      </c>
    </row>
    <row r="165" spans="1:11" ht="15.75" customHeight="1">
      <c r="A165" s="92">
        <v>17</v>
      </c>
      <c r="B165" s="49" t="s">
        <v>1150</v>
      </c>
      <c r="C165" s="49" t="s">
        <v>227</v>
      </c>
      <c r="D165" s="49" t="s">
        <v>505</v>
      </c>
      <c r="E165" s="49" t="s">
        <v>235</v>
      </c>
      <c r="F165" s="49"/>
      <c r="G165" s="49" t="s">
        <v>120</v>
      </c>
      <c r="H165" s="50">
        <v>2</v>
      </c>
      <c r="I165" s="94">
        <v>20</v>
      </c>
      <c r="J165" s="49" t="s">
        <v>36</v>
      </c>
      <c r="K165" s="49" t="s">
        <v>37</v>
      </c>
    </row>
    <row r="166" spans="1:11" ht="15.75" customHeight="1">
      <c r="A166" s="92">
        <v>17</v>
      </c>
      <c r="B166" s="49" t="s">
        <v>1151</v>
      </c>
      <c r="C166" s="49" t="s">
        <v>227</v>
      </c>
      <c r="D166" s="49" t="s">
        <v>237</v>
      </c>
      <c r="E166" s="49" t="s">
        <v>184</v>
      </c>
      <c r="F166" s="49"/>
      <c r="G166" s="49" t="s">
        <v>120</v>
      </c>
      <c r="H166" s="50">
        <v>120</v>
      </c>
      <c r="I166" s="94">
        <v>1200</v>
      </c>
      <c r="J166" s="49" t="s">
        <v>36</v>
      </c>
      <c r="K166" s="49" t="s">
        <v>37</v>
      </c>
    </row>
    <row r="167" spans="1:11" ht="15.75" customHeight="1">
      <c r="A167" s="92">
        <v>18</v>
      </c>
      <c r="B167" s="49" t="s">
        <v>1152</v>
      </c>
      <c r="C167" s="49" t="s">
        <v>227</v>
      </c>
      <c r="D167" s="49" t="s">
        <v>505</v>
      </c>
      <c r="E167" s="49" t="s">
        <v>235</v>
      </c>
      <c r="F167" s="49"/>
      <c r="G167" s="49" t="s">
        <v>35</v>
      </c>
      <c r="H167" s="50">
        <v>40</v>
      </c>
      <c r="I167" s="94">
        <v>10</v>
      </c>
      <c r="J167" s="49" t="s">
        <v>36</v>
      </c>
      <c r="K167" s="49" t="s">
        <v>37</v>
      </c>
    </row>
    <row r="168" spans="1:11" ht="15.75" customHeight="1">
      <c r="A168" s="92">
        <v>18</v>
      </c>
      <c r="B168" s="49" t="s">
        <v>1153</v>
      </c>
      <c r="C168" s="49" t="s">
        <v>227</v>
      </c>
      <c r="D168" s="49" t="s">
        <v>505</v>
      </c>
      <c r="E168" s="49" t="s">
        <v>235</v>
      </c>
      <c r="F168" s="49"/>
      <c r="G168" s="49" t="s">
        <v>120</v>
      </c>
      <c r="H168" s="50">
        <v>6</v>
      </c>
      <c r="I168" s="94">
        <v>30</v>
      </c>
      <c r="J168" s="49" t="s">
        <v>36</v>
      </c>
      <c r="K168" s="49" t="s">
        <v>37</v>
      </c>
    </row>
    <row r="169" spans="1:11" ht="15.75" customHeight="1">
      <c r="A169" s="92">
        <v>18</v>
      </c>
      <c r="B169" s="49" t="s">
        <v>731</v>
      </c>
      <c r="C169" s="49" t="s">
        <v>227</v>
      </c>
      <c r="D169" s="49" t="s">
        <v>607</v>
      </c>
      <c r="E169" s="49" t="s">
        <v>235</v>
      </c>
      <c r="F169" s="49"/>
      <c r="G169" s="49" t="s">
        <v>35</v>
      </c>
      <c r="H169" s="50">
        <v>60</v>
      </c>
      <c r="I169" s="94">
        <v>27</v>
      </c>
      <c r="J169" s="49" t="s">
        <v>36</v>
      </c>
      <c r="K169" s="49" t="s">
        <v>37</v>
      </c>
    </row>
    <row r="170" spans="1:11" ht="15.75" customHeight="1">
      <c r="A170" s="92">
        <v>18</v>
      </c>
      <c r="B170" s="49" t="s">
        <v>1154</v>
      </c>
      <c r="C170" s="49" t="s">
        <v>227</v>
      </c>
      <c r="D170" s="49" t="s">
        <v>760</v>
      </c>
      <c r="E170" s="49" t="s">
        <v>241</v>
      </c>
      <c r="F170" s="49"/>
      <c r="G170" s="49" t="s">
        <v>35</v>
      </c>
      <c r="H170" s="50">
        <v>500</v>
      </c>
      <c r="I170" s="94"/>
      <c r="J170" s="49" t="s">
        <v>43</v>
      </c>
      <c r="K170" s="49" t="s">
        <v>37</v>
      </c>
    </row>
    <row r="171" spans="1:11" ht="15.75" customHeight="1">
      <c r="A171" s="92">
        <v>18</v>
      </c>
      <c r="B171" s="49" t="s">
        <v>1155</v>
      </c>
      <c r="C171" s="49" t="s">
        <v>227</v>
      </c>
      <c r="D171" s="49" t="s">
        <v>760</v>
      </c>
      <c r="E171" s="49" t="s">
        <v>241</v>
      </c>
      <c r="F171" s="49"/>
      <c r="G171" s="49" t="s">
        <v>35</v>
      </c>
      <c r="H171" s="50">
        <v>500</v>
      </c>
      <c r="I171" s="94"/>
      <c r="J171" s="49" t="s">
        <v>43</v>
      </c>
      <c r="K171" s="49" t="s">
        <v>37</v>
      </c>
    </row>
    <row r="172" spans="1:11" ht="15.75" customHeight="1">
      <c r="A172" s="92">
        <v>19</v>
      </c>
      <c r="B172" s="49" t="s">
        <v>1156</v>
      </c>
      <c r="C172" s="49" t="s">
        <v>246</v>
      </c>
      <c r="D172" s="49" t="s">
        <v>728</v>
      </c>
      <c r="E172" s="49" t="s">
        <v>251</v>
      </c>
      <c r="F172" s="49"/>
      <c r="G172" s="49" t="s">
        <v>120</v>
      </c>
      <c r="H172" s="50">
        <v>60</v>
      </c>
      <c r="I172" s="94">
        <v>300</v>
      </c>
      <c r="J172" s="49" t="s">
        <v>36</v>
      </c>
      <c r="K172" s="49" t="s">
        <v>536</v>
      </c>
    </row>
    <row r="173" spans="1:11" ht="15.75" customHeight="1">
      <c r="A173" s="92">
        <v>19</v>
      </c>
      <c r="B173" s="49" t="s">
        <v>1157</v>
      </c>
      <c r="C173" s="49" t="s">
        <v>227</v>
      </c>
      <c r="D173" s="49" t="s">
        <v>1158</v>
      </c>
      <c r="E173" s="49" t="s">
        <v>48</v>
      </c>
      <c r="F173" s="49"/>
      <c r="G173" s="49" t="s">
        <v>35</v>
      </c>
      <c r="H173" s="50">
        <v>100</v>
      </c>
      <c r="I173" s="94">
        <v>25</v>
      </c>
      <c r="J173" s="49" t="s">
        <v>36</v>
      </c>
      <c r="K173" s="49" t="s">
        <v>37</v>
      </c>
    </row>
    <row r="174" spans="1:11" ht="15.75" customHeight="1">
      <c r="A174" s="92">
        <v>19</v>
      </c>
      <c r="B174" s="49" t="s">
        <v>1157</v>
      </c>
      <c r="C174" s="49" t="s">
        <v>227</v>
      </c>
      <c r="D174" s="49" t="s">
        <v>1158</v>
      </c>
      <c r="E174" s="49" t="s">
        <v>48</v>
      </c>
      <c r="F174" s="49"/>
      <c r="G174" s="49" t="s">
        <v>120</v>
      </c>
      <c r="H174" s="50">
        <v>10</v>
      </c>
      <c r="I174" s="94">
        <v>50</v>
      </c>
      <c r="J174" s="49" t="s">
        <v>36</v>
      </c>
      <c r="K174" s="49" t="s">
        <v>37</v>
      </c>
    </row>
    <row r="175" spans="1:11" ht="15.75" customHeight="1">
      <c r="A175" s="92">
        <v>19</v>
      </c>
      <c r="B175" s="49" t="s">
        <v>1159</v>
      </c>
      <c r="C175" s="49" t="s">
        <v>227</v>
      </c>
      <c r="D175" s="49" t="s">
        <v>317</v>
      </c>
      <c r="E175" s="49" t="s">
        <v>241</v>
      </c>
      <c r="F175" s="49"/>
      <c r="G175" s="49" t="s">
        <v>35</v>
      </c>
      <c r="H175" s="50">
        <v>2000</v>
      </c>
      <c r="I175" s="94">
        <v>300</v>
      </c>
      <c r="J175" s="49" t="s">
        <v>36</v>
      </c>
      <c r="K175" s="49" t="s">
        <v>37</v>
      </c>
    </row>
    <row r="176" spans="1:11" ht="15.75" customHeight="1">
      <c r="A176" s="92">
        <v>19</v>
      </c>
      <c r="B176" s="49" t="s">
        <v>1052</v>
      </c>
      <c r="C176" s="49" t="s">
        <v>227</v>
      </c>
      <c r="D176" s="49" t="s">
        <v>32</v>
      </c>
      <c r="E176" s="49" t="s">
        <v>307</v>
      </c>
      <c r="F176" s="49"/>
      <c r="G176" s="49" t="s">
        <v>120</v>
      </c>
      <c r="H176" s="50">
        <v>30</v>
      </c>
      <c r="I176" s="94">
        <v>300</v>
      </c>
      <c r="J176" s="49" t="s">
        <v>36</v>
      </c>
      <c r="K176" s="49" t="s">
        <v>37</v>
      </c>
    </row>
    <row r="177" spans="1:11" ht="15.75" customHeight="1">
      <c r="A177" s="92">
        <v>19</v>
      </c>
      <c r="B177" s="49" t="s">
        <v>1052</v>
      </c>
      <c r="C177" s="49" t="s">
        <v>227</v>
      </c>
      <c r="D177" s="49" t="s">
        <v>32</v>
      </c>
      <c r="E177" s="49" t="s">
        <v>307</v>
      </c>
      <c r="F177" s="49"/>
      <c r="G177" s="49" t="s">
        <v>120</v>
      </c>
      <c r="H177" s="50">
        <v>140</v>
      </c>
      <c r="I177" s="94">
        <v>700</v>
      </c>
      <c r="J177" s="49" t="s">
        <v>36</v>
      </c>
      <c r="K177" s="49" t="s">
        <v>37</v>
      </c>
    </row>
    <row r="178" spans="1:11" ht="15.75" customHeight="1">
      <c r="A178" s="92">
        <v>20</v>
      </c>
      <c r="B178" s="49" t="s">
        <v>1160</v>
      </c>
      <c r="C178" s="49" t="s">
        <v>227</v>
      </c>
      <c r="D178" s="49" t="s">
        <v>728</v>
      </c>
      <c r="E178" s="49" t="s">
        <v>184</v>
      </c>
      <c r="F178" s="49"/>
      <c r="G178" s="49" t="s">
        <v>35</v>
      </c>
      <c r="H178" s="50">
        <v>3000</v>
      </c>
      <c r="I178" s="94">
        <v>450</v>
      </c>
      <c r="J178" s="49" t="s">
        <v>36</v>
      </c>
      <c r="K178" s="49" t="s">
        <v>37</v>
      </c>
    </row>
    <row r="179" spans="1:11" ht="15.75" customHeight="1">
      <c r="A179" s="92">
        <v>20</v>
      </c>
      <c r="B179" s="49" t="s">
        <v>1161</v>
      </c>
      <c r="C179" s="49" t="s">
        <v>227</v>
      </c>
      <c r="D179" s="49" t="s">
        <v>1162</v>
      </c>
      <c r="E179" s="49" t="s">
        <v>137</v>
      </c>
      <c r="F179" s="49"/>
      <c r="G179" s="49" t="s">
        <v>35</v>
      </c>
      <c r="H179" s="50">
        <v>2000</v>
      </c>
      <c r="I179" s="94">
        <v>300</v>
      </c>
      <c r="J179" s="49" t="s">
        <v>36</v>
      </c>
      <c r="K179" s="49" t="s">
        <v>37</v>
      </c>
    </row>
    <row r="180" spans="1:11" ht="15.75" customHeight="1">
      <c r="A180" s="92">
        <v>20</v>
      </c>
      <c r="B180" s="49" t="s">
        <v>1163</v>
      </c>
      <c r="C180" s="49" t="s">
        <v>227</v>
      </c>
      <c r="D180" s="49" t="s">
        <v>616</v>
      </c>
      <c r="E180" s="49" t="s">
        <v>241</v>
      </c>
      <c r="F180" s="49"/>
      <c r="G180" s="49" t="s">
        <v>35</v>
      </c>
      <c r="H180" s="50">
        <v>1500</v>
      </c>
      <c r="I180" s="94">
        <v>225</v>
      </c>
      <c r="J180" s="49" t="s">
        <v>36</v>
      </c>
      <c r="K180" s="49" t="s">
        <v>37</v>
      </c>
    </row>
    <row r="181" spans="1:11" ht="15.75" customHeight="1">
      <c r="A181" s="92">
        <v>20</v>
      </c>
      <c r="B181" s="49" t="s">
        <v>1154</v>
      </c>
      <c r="C181" s="49" t="s">
        <v>227</v>
      </c>
      <c r="D181" s="49" t="s">
        <v>760</v>
      </c>
      <c r="E181" s="49" t="s">
        <v>241</v>
      </c>
      <c r="F181" s="49"/>
      <c r="G181" s="49" t="s">
        <v>35</v>
      </c>
      <c r="H181" s="50">
        <v>600</v>
      </c>
      <c r="I181" s="94">
        <v>150</v>
      </c>
      <c r="J181" s="49" t="s">
        <v>36</v>
      </c>
      <c r="K181" s="49" t="s">
        <v>37</v>
      </c>
    </row>
    <row r="182" spans="1:11" ht="15.75" customHeight="1">
      <c r="A182" s="92">
        <v>21</v>
      </c>
      <c r="B182" s="49" t="s">
        <v>1164</v>
      </c>
      <c r="C182" s="49" t="s">
        <v>227</v>
      </c>
      <c r="D182" s="49" t="s">
        <v>1112</v>
      </c>
      <c r="E182" s="49" t="s">
        <v>199</v>
      </c>
      <c r="F182" s="49"/>
      <c r="G182" s="49" t="s">
        <v>35</v>
      </c>
      <c r="H182" s="50">
        <v>3000</v>
      </c>
      <c r="I182" s="94">
        <v>450</v>
      </c>
      <c r="J182" s="49" t="s">
        <v>36</v>
      </c>
      <c r="K182" s="49" t="s">
        <v>37</v>
      </c>
    </row>
    <row r="183" spans="1:11" ht="15.75" customHeight="1">
      <c r="A183" s="92">
        <v>23</v>
      </c>
      <c r="B183" s="49" t="s">
        <v>1165</v>
      </c>
      <c r="C183" s="49" t="s">
        <v>227</v>
      </c>
      <c r="D183" s="49" t="s">
        <v>198</v>
      </c>
      <c r="E183" s="49" t="s">
        <v>199</v>
      </c>
      <c r="F183" s="49"/>
      <c r="G183" s="49" t="s">
        <v>35</v>
      </c>
      <c r="H183" s="50">
        <v>200</v>
      </c>
      <c r="I183" s="94">
        <v>30</v>
      </c>
      <c r="J183" s="49" t="s">
        <v>36</v>
      </c>
      <c r="K183" s="49" t="s">
        <v>37</v>
      </c>
    </row>
    <row r="184" spans="1:11" ht="15.75" customHeight="1">
      <c r="A184" s="92">
        <v>23</v>
      </c>
      <c r="B184" s="49" t="s">
        <v>1166</v>
      </c>
      <c r="C184" s="49" t="s">
        <v>227</v>
      </c>
      <c r="D184" s="49" t="s">
        <v>277</v>
      </c>
      <c r="E184" s="49" t="s">
        <v>232</v>
      </c>
      <c r="F184" s="49"/>
      <c r="G184" s="49" t="s">
        <v>35</v>
      </c>
      <c r="H184" s="50">
        <v>1800</v>
      </c>
      <c r="I184" s="94">
        <v>270</v>
      </c>
      <c r="J184" s="49" t="s">
        <v>36</v>
      </c>
      <c r="K184" s="49" t="s">
        <v>37</v>
      </c>
    </row>
    <row r="185" spans="1:11" ht="15.75" customHeight="1">
      <c r="A185" s="92">
        <v>23</v>
      </c>
      <c r="B185" s="49" t="s">
        <v>1065</v>
      </c>
      <c r="C185" s="49" t="s">
        <v>246</v>
      </c>
      <c r="D185" s="49" t="s">
        <v>32</v>
      </c>
      <c r="E185" s="49" t="s">
        <v>33</v>
      </c>
      <c r="F185" s="49"/>
      <c r="G185" s="49" t="s">
        <v>120</v>
      </c>
      <c r="H185" s="50">
        <v>30</v>
      </c>
      <c r="I185" s="94">
        <v>150</v>
      </c>
      <c r="J185" s="49" t="s">
        <v>36</v>
      </c>
      <c r="K185" s="49" t="s">
        <v>37</v>
      </c>
    </row>
    <row r="186" spans="1:11" ht="15.75" customHeight="1">
      <c r="A186" s="92">
        <v>23</v>
      </c>
      <c r="B186" s="49" t="s">
        <v>1065</v>
      </c>
      <c r="C186" s="49" t="s">
        <v>246</v>
      </c>
      <c r="D186" s="49" t="s">
        <v>32</v>
      </c>
      <c r="E186" s="49" t="s">
        <v>33</v>
      </c>
      <c r="F186" s="49"/>
      <c r="G186" s="49" t="s">
        <v>242</v>
      </c>
      <c r="H186" s="50">
        <v>33</v>
      </c>
      <c r="I186" s="94">
        <v>99</v>
      </c>
      <c r="J186" s="49" t="s">
        <v>36</v>
      </c>
      <c r="K186" s="49" t="s">
        <v>37</v>
      </c>
    </row>
    <row r="187" spans="1:11" ht="15.75" customHeight="1">
      <c r="A187" s="92">
        <v>23</v>
      </c>
      <c r="B187" s="49" t="s">
        <v>1167</v>
      </c>
      <c r="C187" s="49" t="s">
        <v>246</v>
      </c>
      <c r="D187" s="49" t="s">
        <v>396</v>
      </c>
      <c r="E187" s="49" t="s">
        <v>48</v>
      </c>
      <c r="F187" s="49"/>
      <c r="G187" s="49" t="s">
        <v>242</v>
      </c>
      <c r="H187" s="50">
        <v>5</v>
      </c>
      <c r="I187" s="94">
        <v>15</v>
      </c>
      <c r="J187" s="49" t="s">
        <v>36</v>
      </c>
      <c r="K187" s="49" t="s">
        <v>37</v>
      </c>
    </row>
    <row r="188" spans="1:11" ht="15.75" customHeight="1">
      <c r="A188" s="92">
        <v>23</v>
      </c>
      <c r="B188" s="49" t="s">
        <v>1167</v>
      </c>
      <c r="C188" s="49" t="s">
        <v>246</v>
      </c>
      <c r="D188" s="49" t="s">
        <v>396</v>
      </c>
      <c r="E188" s="49" t="s">
        <v>48</v>
      </c>
      <c r="F188" s="49"/>
      <c r="G188" s="49" t="s">
        <v>273</v>
      </c>
      <c r="H188" s="50">
        <v>5</v>
      </c>
      <c r="I188" s="94">
        <v>15</v>
      </c>
      <c r="J188" s="49" t="s">
        <v>36</v>
      </c>
      <c r="K188" s="49" t="s">
        <v>37</v>
      </c>
    </row>
    <row r="189" spans="1:11" ht="15.75" customHeight="1">
      <c r="A189" s="92">
        <v>23</v>
      </c>
      <c r="B189" s="49" t="s">
        <v>1168</v>
      </c>
      <c r="C189" s="49" t="s">
        <v>246</v>
      </c>
      <c r="D189" s="49" t="s">
        <v>164</v>
      </c>
      <c r="E189" s="49" t="s">
        <v>321</v>
      </c>
      <c r="F189" s="49"/>
      <c r="G189" s="49" t="s">
        <v>35</v>
      </c>
      <c r="H189" s="50">
        <v>700</v>
      </c>
      <c r="I189" s="94">
        <v>105</v>
      </c>
      <c r="J189" s="49" t="s">
        <v>36</v>
      </c>
      <c r="K189" s="49" t="s">
        <v>37</v>
      </c>
    </row>
    <row r="190" spans="1:11" ht="15.75" customHeight="1">
      <c r="A190" s="92">
        <v>23</v>
      </c>
      <c r="B190" s="49" t="s">
        <v>1169</v>
      </c>
      <c r="C190" s="49" t="s">
        <v>227</v>
      </c>
      <c r="D190" s="49" t="s">
        <v>33</v>
      </c>
      <c r="E190" s="49" t="s">
        <v>199</v>
      </c>
      <c r="F190" s="49"/>
      <c r="G190" s="49" t="s">
        <v>120</v>
      </c>
      <c r="H190" s="50">
        <v>300</v>
      </c>
      <c r="I190" s="94">
        <v>1500</v>
      </c>
      <c r="J190" s="49" t="s">
        <v>36</v>
      </c>
      <c r="K190" s="49" t="s">
        <v>37</v>
      </c>
    </row>
    <row r="191" spans="1:11" ht="15.75" customHeight="1">
      <c r="A191" s="92">
        <v>23</v>
      </c>
      <c r="B191" s="49" t="s">
        <v>1170</v>
      </c>
      <c r="C191" s="49" t="s">
        <v>227</v>
      </c>
      <c r="D191" s="49" t="s">
        <v>1171</v>
      </c>
      <c r="E191" s="49" t="s">
        <v>48</v>
      </c>
      <c r="F191" s="49"/>
      <c r="G191" s="49" t="s">
        <v>120</v>
      </c>
      <c r="H191" s="50">
        <v>10</v>
      </c>
      <c r="I191" s="94">
        <v>50</v>
      </c>
      <c r="J191" s="49" t="s">
        <v>36</v>
      </c>
      <c r="K191" s="49" t="s">
        <v>37</v>
      </c>
    </row>
    <row r="192" spans="1:11" ht="15.75" customHeight="1">
      <c r="A192" s="92">
        <v>23</v>
      </c>
      <c r="B192" s="49" t="s">
        <v>1172</v>
      </c>
      <c r="C192" s="49" t="s">
        <v>227</v>
      </c>
      <c r="D192" s="49" t="s">
        <v>352</v>
      </c>
      <c r="E192" s="49" t="s">
        <v>307</v>
      </c>
      <c r="F192" s="49"/>
      <c r="G192" s="49" t="s">
        <v>35</v>
      </c>
      <c r="H192" s="50">
        <v>140</v>
      </c>
      <c r="I192" s="94">
        <v>35</v>
      </c>
      <c r="J192" s="49" t="s">
        <v>36</v>
      </c>
      <c r="K192" s="49" t="s">
        <v>37</v>
      </c>
    </row>
    <row r="193" spans="1:11" ht="15.75" customHeight="1">
      <c r="A193" s="92">
        <v>23</v>
      </c>
      <c r="B193" s="49" t="s">
        <v>1173</v>
      </c>
      <c r="C193" s="49" t="s">
        <v>246</v>
      </c>
      <c r="D193" s="49" t="s">
        <v>1174</v>
      </c>
      <c r="E193" s="49" t="s">
        <v>307</v>
      </c>
      <c r="F193" s="49"/>
      <c r="G193" s="49" t="s">
        <v>35</v>
      </c>
      <c r="H193" s="50">
        <v>500</v>
      </c>
      <c r="I193" s="94">
        <v>125</v>
      </c>
      <c r="J193" s="49" t="s">
        <v>36</v>
      </c>
      <c r="K193" s="49" t="s">
        <v>37</v>
      </c>
    </row>
    <row r="194" spans="1:11" ht="15.75" customHeight="1">
      <c r="A194" s="92">
        <v>23</v>
      </c>
      <c r="B194" s="49" t="s">
        <v>1175</v>
      </c>
      <c r="C194" s="49" t="s">
        <v>246</v>
      </c>
      <c r="D194" s="49" t="s">
        <v>763</v>
      </c>
      <c r="E194" s="49" t="s">
        <v>235</v>
      </c>
      <c r="F194" s="49"/>
      <c r="G194" s="49" t="s">
        <v>120</v>
      </c>
      <c r="H194" s="50">
        <v>10</v>
      </c>
      <c r="I194" s="94">
        <v>100</v>
      </c>
      <c r="J194" s="49" t="s">
        <v>36</v>
      </c>
      <c r="K194" s="49" t="s">
        <v>37</v>
      </c>
    </row>
    <row r="195" spans="1:11" ht="15.75" customHeight="1">
      <c r="A195" s="92">
        <v>23</v>
      </c>
      <c r="B195" s="49" t="s">
        <v>1176</v>
      </c>
      <c r="C195" s="49" t="s">
        <v>227</v>
      </c>
      <c r="D195" s="49" t="s">
        <v>1177</v>
      </c>
      <c r="E195" s="49" t="s">
        <v>722</v>
      </c>
      <c r="F195" s="49"/>
      <c r="G195" s="49" t="s">
        <v>35</v>
      </c>
      <c r="H195" s="50">
        <v>100</v>
      </c>
      <c r="I195" s="94"/>
      <c r="J195" s="49" t="s">
        <v>43</v>
      </c>
      <c r="K195" s="49" t="s">
        <v>37</v>
      </c>
    </row>
    <row r="196" spans="1:11" ht="15.75" customHeight="1">
      <c r="A196" s="92">
        <v>24</v>
      </c>
      <c r="B196" s="49" t="s">
        <v>1178</v>
      </c>
      <c r="C196" s="49" t="s">
        <v>246</v>
      </c>
      <c r="D196" s="49" t="s">
        <v>1179</v>
      </c>
      <c r="E196" s="49" t="s">
        <v>48</v>
      </c>
      <c r="F196" s="49"/>
      <c r="G196" s="49" t="s">
        <v>120</v>
      </c>
      <c r="H196" s="50">
        <v>40</v>
      </c>
      <c r="I196" s="94">
        <v>200</v>
      </c>
      <c r="J196" s="49" t="s">
        <v>36</v>
      </c>
      <c r="K196" s="49" t="s">
        <v>536</v>
      </c>
    </row>
    <row r="197" spans="1:11" ht="15.75" customHeight="1">
      <c r="A197" s="92">
        <v>24</v>
      </c>
      <c r="B197" s="49" t="s">
        <v>1180</v>
      </c>
      <c r="C197" s="49" t="s">
        <v>227</v>
      </c>
      <c r="D197" s="49" t="s">
        <v>959</v>
      </c>
      <c r="E197" s="49" t="s">
        <v>507</v>
      </c>
      <c r="F197" s="49"/>
      <c r="G197" s="49" t="s">
        <v>35</v>
      </c>
      <c r="H197" s="50">
        <v>9000</v>
      </c>
      <c r="I197" s="94">
        <v>1350</v>
      </c>
      <c r="J197" s="49" t="s">
        <v>36</v>
      </c>
      <c r="K197" s="49" t="s">
        <v>37</v>
      </c>
    </row>
    <row r="198" spans="1:11" ht="15.75" customHeight="1">
      <c r="A198" s="92">
        <v>24</v>
      </c>
      <c r="B198" s="49" t="s">
        <v>1181</v>
      </c>
      <c r="C198" s="49" t="s">
        <v>227</v>
      </c>
      <c r="D198" s="49" t="s">
        <v>1035</v>
      </c>
      <c r="E198" s="49" t="s">
        <v>41</v>
      </c>
      <c r="F198" s="49"/>
      <c r="G198" s="49" t="s">
        <v>35</v>
      </c>
      <c r="H198" s="50">
        <v>600</v>
      </c>
      <c r="I198" s="94">
        <v>90</v>
      </c>
      <c r="J198" s="49" t="s">
        <v>36</v>
      </c>
      <c r="K198" s="49" t="s">
        <v>37</v>
      </c>
    </row>
    <row r="199" spans="1:11" ht="15.75" customHeight="1">
      <c r="A199" s="92">
        <v>24</v>
      </c>
      <c r="B199" s="49" t="s">
        <v>1182</v>
      </c>
      <c r="C199" s="49" t="s">
        <v>246</v>
      </c>
      <c r="D199" s="49" t="s">
        <v>607</v>
      </c>
      <c r="E199" s="49" t="s">
        <v>235</v>
      </c>
      <c r="F199" s="49"/>
      <c r="G199" s="49" t="s">
        <v>120</v>
      </c>
      <c r="H199" s="50">
        <v>7</v>
      </c>
      <c r="I199" s="94">
        <v>70</v>
      </c>
      <c r="J199" s="49" t="s">
        <v>36</v>
      </c>
      <c r="K199" s="49" t="s">
        <v>37</v>
      </c>
    </row>
    <row r="200" spans="1:11" ht="15.75" customHeight="1">
      <c r="A200" s="92">
        <v>24</v>
      </c>
      <c r="B200" s="49" t="s">
        <v>1182</v>
      </c>
      <c r="C200" s="49" t="s">
        <v>246</v>
      </c>
      <c r="D200" s="49" t="s">
        <v>607</v>
      </c>
      <c r="E200" s="49" t="s">
        <v>235</v>
      </c>
      <c r="F200" s="49"/>
      <c r="G200" s="49" t="s">
        <v>120</v>
      </c>
      <c r="H200" s="50">
        <v>10</v>
      </c>
      <c r="I200" s="94">
        <v>50</v>
      </c>
      <c r="J200" s="49" t="s">
        <v>36</v>
      </c>
      <c r="K200" s="49" t="s">
        <v>37</v>
      </c>
    </row>
    <row r="201" spans="1:11" ht="15.75" customHeight="1">
      <c r="A201" s="92">
        <v>24</v>
      </c>
      <c r="B201" s="49" t="s">
        <v>1182</v>
      </c>
      <c r="C201" s="49" t="s">
        <v>246</v>
      </c>
      <c r="D201" s="49" t="s">
        <v>607</v>
      </c>
      <c r="E201" s="49" t="s">
        <v>235</v>
      </c>
      <c r="F201" s="49"/>
      <c r="G201" s="49" t="s">
        <v>242</v>
      </c>
      <c r="H201" s="50">
        <v>3</v>
      </c>
      <c r="I201" s="94">
        <v>9</v>
      </c>
      <c r="J201" s="49" t="s">
        <v>36</v>
      </c>
      <c r="K201" s="49" t="s">
        <v>37</v>
      </c>
    </row>
    <row r="202" spans="1:11" ht="15.75" customHeight="1">
      <c r="A202" s="92">
        <v>25</v>
      </c>
      <c r="B202" s="49" t="s">
        <v>1183</v>
      </c>
      <c r="C202" s="49" t="s">
        <v>227</v>
      </c>
      <c r="D202" s="49" t="s">
        <v>1184</v>
      </c>
      <c r="E202" s="49" t="s">
        <v>89</v>
      </c>
      <c r="F202" s="49"/>
      <c r="G202" s="49" t="s">
        <v>35</v>
      </c>
      <c r="H202" s="50">
        <v>1500</v>
      </c>
      <c r="I202" s="94"/>
      <c r="J202" s="49" t="s">
        <v>43</v>
      </c>
      <c r="K202" s="49" t="s">
        <v>37</v>
      </c>
    </row>
    <row r="203" spans="1:11" ht="15.75" customHeight="1">
      <c r="A203" s="92">
        <v>25</v>
      </c>
      <c r="B203" s="49" t="s">
        <v>1185</v>
      </c>
      <c r="C203" s="49" t="s">
        <v>227</v>
      </c>
      <c r="D203" s="49" t="s">
        <v>88</v>
      </c>
      <c r="E203" s="49" t="s">
        <v>89</v>
      </c>
      <c r="F203" s="49"/>
      <c r="G203" s="49" t="s">
        <v>35</v>
      </c>
      <c r="H203" s="50">
        <v>1500</v>
      </c>
      <c r="I203" s="94"/>
      <c r="J203" s="49" t="s">
        <v>43</v>
      </c>
      <c r="K203" s="49" t="s">
        <v>37</v>
      </c>
    </row>
    <row r="204" spans="1:11" ht="15.75" customHeight="1">
      <c r="A204" s="92">
        <v>25</v>
      </c>
      <c r="B204" s="49" t="s">
        <v>1186</v>
      </c>
      <c r="C204" s="49" t="s">
        <v>227</v>
      </c>
      <c r="D204" s="49" t="s">
        <v>1184</v>
      </c>
      <c r="E204" s="49" t="s">
        <v>89</v>
      </c>
      <c r="F204" s="49"/>
      <c r="G204" s="49" t="s">
        <v>35</v>
      </c>
      <c r="H204" s="50">
        <v>1500</v>
      </c>
      <c r="I204" s="94"/>
      <c r="J204" s="49" t="s">
        <v>43</v>
      </c>
      <c r="K204" s="49" t="s">
        <v>37</v>
      </c>
    </row>
    <row r="205" spans="1:11" ht="15.75" customHeight="1">
      <c r="A205" s="92">
        <v>25</v>
      </c>
      <c r="B205" s="49" t="s">
        <v>1187</v>
      </c>
      <c r="C205" s="49" t="s">
        <v>246</v>
      </c>
      <c r="D205" s="49" t="s">
        <v>1184</v>
      </c>
      <c r="E205" s="49" t="s">
        <v>89</v>
      </c>
      <c r="F205" s="49"/>
      <c r="G205" s="49" t="s">
        <v>35</v>
      </c>
      <c r="H205" s="50">
        <v>1500</v>
      </c>
      <c r="I205" s="94"/>
      <c r="J205" s="49" t="s">
        <v>43</v>
      </c>
      <c r="K205" s="49" t="s">
        <v>37</v>
      </c>
    </row>
    <row r="206" spans="1:11" ht="15.75" customHeight="1">
      <c r="A206" s="92">
        <v>25</v>
      </c>
      <c r="B206" s="49" t="s">
        <v>1188</v>
      </c>
      <c r="C206" s="49" t="s">
        <v>227</v>
      </c>
      <c r="D206" s="49" t="s">
        <v>1184</v>
      </c>
      <c r="E206" s="49" t="s">
        <v>89</v>
      </c>
      <c r="F206" s="49"/>
      <c r="G206" s="49" t="s">
        <v>35</v>
      </c>
      <c r="H206" s="50">
        <v>3000</v>
      </c>
      <c r="I206" s="94"/>
      <c r="J206" s="49" t="s">
        <v>43</v>
      </c>
      <c r="K206" s="49" t="s">
        <v>37</v>
      </c>
    </row>
    <row r="207" spans="1:11" ht="15.75" customHeight="1">
      <c r="A207" s="92">
        <v>25</v>
      </c>
      <c r="B207" s="49" t="s">
        <v>1189</v>
      </c>
      <c r="C207" s="49" t="s">
        <v>246</v>
      </c>
      <c r="D207" s="49" t="s">
        <v>1190</v>
      </c>
      <c r="E207" s="49" t="s">
        <v>241</v>
      </c>
      <c r="F207" s="49"/>
      <c r="G207" s="49" t="s">
        <v>35</v>
      </c>
      <c r="H207" s="50">
        <v>12000</v>
      </c>
      <c r="I207" s="94">
        <v>1800</v>
      </c>
      <c r="J207" s="49" t="s">
        <v>36</v>
      </c>
      <c r="K207" s="49" t="s">
        <v>37</v>
      </c>
    </row>
    <row r="208" spans="1:11" ht="15.75" customHeight="1">
      <c r="A208" s="92">
        <v>25</v>
      </c>
      <c r="B208" s="49" t="s">
        <v>1189</v>
      </c>
      <c r="C208" s="49" t="s">
        <v>246</v>
      </c>
      <c r="D208" s="49" t="s">
        <v>1190</v>
      </c>
      <c r="E208" s="49" t="s">
        <v>241</v>
      </c>
      <c r="F208" s="49"/>
      <c r="G208" s="49" t="s">
        <v>35</v>
      </c>
      <c r="H208" s="50">
        <v>3000</v>
      </c>
      <c r="I208" s="94"/>
      <c r="J208" s="49" t="s">
        <v>43</v>
      </c>
      <c r="K208" s="49" t="s">
        <v>37</v>
      </c>
    </row>
    <row r="209" spans="1:11" ht="15.75" customHeight="1">
      <c r="A209" s="92">
        <v>25</v>
      </c>
      <c r="B209" s="49" t="s">
        <v>1189</v>
      </c>
      <c r="C209" s="49" t="s">
        <v>246</v>
      </c>
      <c r="D209" s="49" t="s">
        <v>1190</v>
      </c>
      <c r="E209" s="49" t="s">
        <v>241</v>
      </c>
      <c r="F209" s="49"/>
      <c r="G209" s="49" t="s">
        <v>120</v>
      </c>
      <c r="H209" s="50">
        <v>80</v>
      </c>
      <c r="I209" s="94">
        <v>400</v>
      </c>
      <c r="J209" s="49" t="s">
        <v>36</v>
      </c>
      <c r="K209" s="49" t="s">
        <v>536</v>
      </c>
    </row>
    <row r="210" spans="1:11" ht="15.75" customHeight="1">
      <c r="A210" s="92">
        <v>25</v>
      </c>
      <c r="B210" s="49" t="s">
        <v>1191</v>
      </c>
      <c r="C210" s="49" t="s">
        <v>246</v>
      </c>
      <c r="D210" s="49" t="s">
        <v>306</v>
      </c>
      <c r="E210" s="49" t="s">
        <v>307</v>
      </c>
      <c r="F210" s="49"/>
      <c r="G210" s="49" t="s">
        <v>120</v>
      </c>
      <c r="H210" s="50">
        <v>40</v>
      </c>
      <c r="I210" s="94">
        <v>200</v>
      </c>
      <c r="J210" s="49" t="s">
        <v>36</v>
      </c>
      <c r="K210" s="49" t="s">
        <v>37</v>
      </c>
    </row>
    <row r="211" spans="1:11" ht="15.75" customHeight="1">
      <c r="A211" s="92">
        <v>26</v>
      </c>
      <c r="B211" s="49" t="s">
        <v>1192</v>
      </c>
      <c r="C211" s="49" t="s">
        <v>227</v>
      </c>
      <c r="D211" s="49" t="s">
        <v>32</v>
      </c>
      <c r="E211" s="49" t="s">
        <v>199</v>
      </c>
      <c r="F211" s="49"/>
      <c r="G211" s="49" t="s">
        <v>120</v>
      </c>
      <c r="H211" s="50">
        <v>300</v>
      </c>
      <c r="I211" s="94">
        <v>1500</v>
      </c>
      <c r="J211" s="49" t="s">
        <v>36</v>
      </c>
      <c r="K211" s="49" t="s">
        <v>37</v>
      </c>
    </row>
    <row r="212" spans="1:11" ht="15.75" customHeight="1">
      <c r="A212" s="92">
        <v>26</v>
      </c>
      <c r="B212" s="49" t="s">
        <v>1193</v>
      </c>
      <c r="C212" s="49" t="s">
        <v>246</v>
      </c>
      <c r="D212" s="49" t="s">
        <v>1194</v>
      </c>
      <c r="E212" s="49" t="s">
        <v>115</v>
      </c>
      <c r="F212" s="49"/>
      <c r="G212" s="49" t="s">
        <v>35</v>
      </c>
      <c r="H212" s="50">
        <v>1500</v>
      </c>
      <c r="I212" s="94">
        <v>375</v>
      </c>
      <c r="J212" s="49" t="s">
        <v>36</v>
      </c>
      <c r="K212" s="49" t="s">
        <v>37</v>
      </c>
    </row>
    <row r="213" spans="1:11" ht="15.75" customHeight="1">
      <c r="A213" s="92">
        <v>27</v>
      </c>
      <c r="B213" s="49" t="s">
        <v>508</v>
      </c>
      <c r="C213" s="49" t="s">
        <v>227</v>
      </c>
      <c r="D213" s="49" t="s">
        <v>33</v>
      </c>
      <c r="E213" s="49" t="s">
        <v>199</v>
      </c>
      <c r="F213" s="49"/>
      <c r="G213" s="49" t="s">
        <v>35</v>
      </c>
      <c r="H213" s="50">
        <v>40000</v>
      </c>
      <c r="I213" s="94">
        <v>6000</v>
      </c>
      <c r="J213" s="49" t="s">
        <v>36</v>
      </c>
      <c r="K213" s="49" t="s">
        <v>37</v>
      </c>
    </row>
    <row r="214" spans="1:11" ht="15.75" customHeight="1">
      <c r="A214" s="92">
        <v>27</v>
      </c>
      <c r="B214" s="49" t="s">
        <v>1195</v>
      </c>
      <c r="C214" s="49" t="s">
        <v>227</v>
      </c>
      <c r="D214" s="49" t="s">
        <v>1030</v>
      </c>
      <c r="E214" s="49" t="s">
        <v>251</v>
      </c>
      <c r="F214" s="49"/>
      <c r="G214" s="49" t="s">
        <v>120</v>
      </c>
      <c r="H214" s="50">
        <v>100</v>
      </c>
      <c r="I214" s="94">
        <v>500</v>
      </c>
      <c r="J214" s="49" t="s">
        <v>36</v>
      </c>
      <c r="K214" s="49" t="s">
        <v>37</v>
      </c>
    </row>
    <row r="215" spans="1:11" ht="15.75" customHeight="1">
      <c r="A215" s="92">
        <v>27</v>
      </c>
      <c r="B215" s="49" t="s">
        <v>540</v>
      </c>
      <c r="C215" s="49" t="s">
        <v>227</v>
      </c>
      <c r="D215" s="49" t="s">
        <v>295</v>
      </c>
      <c r="E215" s="49" t="s">
        <v>248</v>
      </c>
      <c r="F215" s="49"/>
      <c r="G215" s="49" t="s">
        <v>35</v>
      </c>
      <c r="H215" s="50">
        <v>1500</v>
      </c>
      <c r="I215" s="94">
        <v>225</v>
      </c>
      <c r="J215" s="49" t="s">
        <v>36</v>
      </c>
      <c r="K215" s="49" t="s">
        <v>37</v>
      </c>
    </row>
    <row r="216" spans="1:11" ht="15.75" customHeight="1">
      <c r="A216" s="92">
        <v>27</v>
      </c>
      <c r="B216" s="49" t="s">
        <v>1196</v>
      </c>
      <c r="C216" s="49" t="s">
        <v>246</v>
      </c>
      <c r="D216" s="49" t="s">
        <v>295</v>
      </c>
      <c r="E216" s="49" t="s">
        <v>248</v>
      </c>
      <c r="F216" s="49"/>
      <c r="G216" s="49" t="s">
        <v>35</v>
      </c>
      <c r="H216" s="50">
        <v>1000</v>
      </c>
      <c r="I216" s="94">
        <v>250</v>
      </c>
      <c r="J216" s="49" t="s">
        <v>36</v>
      </c>
      <c r="K216" s="49" t="s">
        <v>37</v>
      </c>
    </row>
    <row r="217" spans="1:11" ht="15.75" customHeight="1">
      <c r="A217" s="92">
        <v>28</v>
      </c>
      <c r="B217" s="49" t="s">
        <v>233</v>
      </c>
      <c r="C217" s="49" t="s">
        <v>227</v>
      </c>
      <c r="D217" s="49" t="s">
        <v>234</v>
      </c>
      <c r="E217" s="49" t="s">
        <v>235</v>
      </c>
      <c r="F217" s="49"/>
      <c r="G217" s="49" t="s">
        <v>35</v>
      </c>
      <c r="H217" s="50">
        <v>1100</v>
      </c>
      <c r="I217" s="94">
        <v>275</v>
      </c>
      <c r="J217" s="49" t="s">
        <v>36</v>
      </c>
      <c r="K217" s="49" t="s">
        <v>37</v>
      </c>
    </row>
    <row r="218" spans="1:11" ht="15.75" customHeight="1">
      <c r="A218" s="92">
        <v>28</v>
      </c>
      <c r="B218" s="49" t="s">
        <v>1197</v>
      </c>
      <c r="C218" s="49" t="s">
        <v>227</v>
      </c>
      <c r="D218" s="49" t="s">
        <v>1198</v>
      </c>
      <c r="E218" s="49" t="s">
        <v>251</v>
      </c>
      <c r="F218" s="49"/>
      <c r="G218" s="49" t="s">
        <v>35</v>
      </c>
      <c r="H218" s="50">
        <v>300</v>
      </c>
      <c r="I218" s="94">
        <v>45</v>
      </c>
      <c r="J218" s="49" t="s">
        <v>36</v>
      </c>
      <c r="K218" s="49" t="s">
        <v>37</v>
      </c>
    </row>
    <row r="219" spans="1:11" ht="15.75" customHeight="1">
      <c r="A219" s="92">
        <v>28</v>
      </c>
      <c r="B219" s="49" t="s">
        <v>1199</v>
      </c>
      <c r="C219" s="49" t="s">
        <v>227</v>
      </c>
      <c r="D219" s="49" t="s">
        <v>277</v>
      </c>
      <c r="E219" s="49" t="s">
        <v>232</v>
      </c>
      <c r="F219" s="49"/>
      <c r="G219" s="49" t="s">
        <v>35</v>
      </c>
      <c r="H219" s="50">
        <v>3000</v>
      </c>
      <c r="I219" s="94">
        <v>450</v>
      </c>
      <c r="J219" s="49" t="s">
        <v>36</v>
      </c>
      <c r="K219" s="49" t="s">
        <v>37</v>
      </c>
    </row>
    <row r="220" spans="1:11" ht="15.75" customHeight="1">
      <c r="A220" s="92">
        <v>29</v>
      </c>
      <c r="B220" s="49" t="s">
        <v>1200</v>
      </c>
      <c r="C220" s="49" t="s">
        <v>227</v>
      </c>
      <c r="D220" s="49" t="s">
        <v>556</v>
      </c>
      <c r="E220" s="49" t="s">
        <v>232</v>
      </c>
      <c r="F220" s="49"/>
      <c r="G220" s="49" t="s">
        <v>35</v>
      </c>
      <c r="H220" s="50">
        <v>1000</v>
      </c>
      <c r="I220" s="94">
        <v>250</v>
      </c>
      <c r="J220" s="49" t="s">
        <v>36</v>
      </c>
      <c r="K220" s="49" t="s">
        <v>37</v>
      </c>
    </row>
    <row r="221" spans="1:11" ht="15.75" customHeight="1">
      <c r="A221" s="92">
        <v>29</v>
      </c>
      <c r="B221" s="49" t="s">
        <v>347</v>
      </c>
      <c r="C221" s="49" t="s">
        <v>227</v>
      </c>
      <c r="D221" s="49" t="s">
        <v>348</v>
      </c>
      <c r="E221" s="49" t="s">
        <v>251</v>
      </c>
      <c r="F221" s="49"/>
      <c r="G221" s="49" t="s">
        <v>120</v>
      </c>
      <c r="H221" s="50">
        <v>100</v>
      </c>
      <c r="I221" s="94">
        <v>500</v>
      </c>
      <c r="J221" s="49" t="s">
        <v>36</v>
      </c>
      <c r="K221" s="49" t="s">
        <v>37</v>
      </c>
    </row>
    <row r="222" spans="1:11" ht="15.75" customHeight="1">
      <c r="A222" s="92"/>
      <c r="B222" s="49"/>
      <c r="C222" s="49"/>
      <c r="D222" s="49"/>
      <c r="E222" s="49"/>
      <c r="F222" s="49"/>
      <c r="G222" s="49"/>
      <c r="H222" s="50"/>
      <c r="I222" s="94"/>
      <c r="J222" s="49"/>
      <c r="K222" s="49"/>
    </row>
    <row r="223" spans="1:11" ht="15.75" customHeight="1">
      <c r="A223" s="92"/>
      <c r="B223" s="49"/>
      <c r="C223" s="49"/>
      <c r="D223" s="49"/>
      <c r="E223" s="49"/>
      <c r="F223" s="49"/>
      <c r="G223" s="49"/>
      <c r="H223" s="50"/>
      <c r="I223" s="94"/>
      <c r="J223" s="49"/>
      <c r="K223" s="49"/>
    </row>
    <row r="224" spans="1:11" ht="15.75" customHeight="1">
      <c r="A224" s="92"/>
      <c r="B224" s="49"/>
      <c r="C224" s="49"/>
      <c r="D224" s="49"/>
      <c r="E224" s="49"/>
      <c r="F224" s="49"/>
      <c r="G224" s="49"/>
      <c r="H224" s="50"/>
      <c r="I224" s="94"/>
      <c r="J224" s="49"/>
      <c r="K224" s="49"/>
    </row>
    <row r="225" spans="2:10" ht="15.75" customHeight="1"/>
    <row r="226" spans="2:10" ht="15.75" customHeight="1"/>
    <row r="227" spans="2:10" ht="15.75" customHeight="1"/>
    <row r="228" spans="2:10" ht="15.75" customHeight="1">
      <c r="J228" s="60" t="s">
        <v>53</v>
      </c>
    </row>
    <row r="229" spans="2:10" ht="15.75" customHeight="1">
      <c r="B229" s="61" t="s">
        <v>55</v>
      </c>
      <c r="E229" s="61" t="s">
        <v>56</v>
      </c>
      <c r="J229" s="60" t="s">
        <v>1201</v>
      </c>
    </row>
    <row r="230" spans="2:10" ht="15.75" customHeight="1">
      <c r="J230" s="60" t="s">
        <v>1202</v>
      </c>
    </row>
    <row r="231" spans="2:10" ht="15.75" customHeight="1">
      <c r="J231" s="60" t="s">
        <v>1203</v>
      </c>
    </row>
    <row r="232" spans="2:10" ht="15.75" customHeight="1">
      <c r="B232" s="65" t="s">
        <v>109</v>
      </c>
      <c r="E232" s="65" t="s">
        <v>61</v>
      </c>
      <c r="F232" s="65"/>
      <c r="G232" s="62"/>
      <c r="J232" s="60" t="s">
        <v>1204</v>
      </c>
    </row>
    <row r="233" spans="2:10" ht="15.75" customHeight="1">
      <c r="B233" s="61" t="s">
        <v>110</v>
      </c>
      <c r="E233" s="61" t="s">
        <v>124</v>
      </c>
      <c r="J233" s="60" t="s">
        <v>1205</v>
      </c>
    </row>
    <row r="234" spans="2:10" ht="15.75" customHeight="1">
      <c r="J234" s="60" t="s">
        <v>1206</v>
      </c>
    </row>
    <row r="235" spans="2:10" ht="15.75" customHeight="1">
      <c r="J235" s="60" t="s">
        <v>66</v>
      </c>
    </row>
    <row r="236" spans="2:10" ht="15.75" customHeight="1">
      <c r="J236" s="60" t="s">
        <v>1207</v>
      </c>
    </row>
    <row r="237" spans="2:10" ht="15.75" customHeight="1">
      <c r="J237" s="60" t="s">
        <v>1208</v>
      </c>
    </row>
    <row r="238" spans="2:10" ht="15.75" customHeight="1"/>
    <row r="239" spans="2:10" ht="15.75" customHeight="1"/>
    <row r="240" spans="2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I2"/>
    <mergeCell ref="C3:G3"/>
    <mergeCell ref="F8:H8"/>
    <mergeCell ref="J8:K8"/>
    <mergeCell ref="A9:B9"/>
  </mergeCells>
  <pageMargins left="0.7" right="0.7" top="0.75" bottom="0.75" header="0" footer="0"/>
  <pageSetup paperSize="5" scale="9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1209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1210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1211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1212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1213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92">
        <v>2</v>
      </c>
      <c r="B12" s="49" t="s">
        <v>1214</v>
      </c>
      <c r="C12" s="49" t="s">
        <v>227</v>
      </c>
      <c r="D12" s="49" t="s">
        <v>1215</v>
      </c>
      <c r="E12" s="49" t="s">
        <v>232</v>
      </c>
      <c r="F12" s="49"/>
      <c r="G12" s="49" t="s">
        <v>35</v>
      </c>
      <c r="H12" s="50">
        <v>1000</v>
      </c>
      <c r="I12" s="55">
        <v>150</v>
      </c>
      <c r="J12" s="49" t="s">
        <v>36</v>
      </c>
      <c r="K12" s="49" t="s">
        <v>37</v>
      </c>
    </row>
    <row r="13" spans="1:11">
      <c r="A13" s="92">
        <v>2</v>
      </c>
      <c r="B13" s="49" t="s">
        <v>1084</v>
      </c>
      <c r="C13" s="49" t="s">
        <v>227</v>
      </c>
      <c r="D13" s="49" t="s">
        <v>607</v>
      </c>
      <c r="E13" s="49" t="s">
        <v>235</v>
      </c>
      <c r="F13" s="49"/>
      <c r="G13" s="49" t="s">
        <v>120</v>
      </c>
      <c r="H13" s="49">
        <v>20</v>
      </c>
      <c r="I13" s="55">
        <v>100</v>
      </c>
      <c r="J13" s="49" t="s">
        <v>36</v>
      </c>
      <c r="K13" s="49" t="s">
        <v>37</v>
      </c>
    </row>
    <row r="14" spans="1:11">
      <c r="A14" s="92">
        <v>2</v>
      </c>
      <c r="B14" s="49" t="s">
        <v>1216</v>
      </c>
      <c r="C14" s="49" t="s">
        <v>227</v>
      </c>
      <c r="D14" s="49" t="s">
        <v>360</v>
      </c>
      <c r="E14" s="49" t="s">
        <v>48</v>
      </c>
      <c r="F14" s="49"/>
      <c r="G14" s="49" t="s">
        <v>35</v>
      </c>
      <c r="H14" s="50">
        <v>1000</v>
      </c>
      <c r="I14" s="55">
        <v>150</v>
      </c>
      <c r="J14" s="49" t="s">
        <v>36</v>
      </c>
      <c r="K14" s="49" t="s">
        <v>37</v>
      </c>
    </row>
    <row r="15" spans="1:11">
      <c r="A15" s="92">
        <v>2</v>
      </c>
      <c r="B15" s="49" t="s">
        <v>1216</v>
      </c>
      <c r="C15" s="49" t="s">
        <v>227</v>
      </c>
      <c r="D15" s="49" t="s">
        <v>360</v>
      </c>
      <c r="E15" s="49" t="s">
        <v>48</v>
      </c>
      <c r="F15" s="49"/>
      <c r="G15" s="49" t="s">
        <v>120</v>
      </c>
      <c r="H15" s="49">
        <v>20</v>
      </c>
      <c r="I15" s="55">
        <v>100</v>
      </c>
      <c r="J15" s="49" t="s">
        <v>36</v>
      </c>
      <c r="K15" s="49" t="s">
        <v>37</v>
      </c>
    </row>
    <row r="16" spans="1:11">
      <c r="A16" s="92">
        <v>2</v>
      </c>
      <c r="B16" s="49" t="s">
        <v>979</v>
      </c>
      <c r="C16" s="49" t="s">
        <v>227</v>
      </c>
      <c r="D16" s="49" t="s">
        <v>980</v>
      </c>
      <c r="E16" s="49" t="s">
        <v>251</v>
      </c>
      <c r="F16" s="49"/>
      <c r="G16" s="49" t="s">
        <v>120</v>
      </c>
      <c r="H16" s="49">
        <v>100</v>
      </c>
      <c r="I16" s="55">
        <v>500</v>
      </c>
      <c r="J16" s="49" t="s">
        <v>36</v>
      </c>
      <c r="K16" s="49" t="s">
        <v>37</v>
      </c>
    </row>
    <row r="17" spans="1:16">
      <c r="A17" s="92">
        <v>2</v>
      </c>
      <c r="B17" s="49" t="s">
        <v>979</v>
      </c>
      <c r="C17" s="49" t="s">
        <v>227</v>
      </c>
      <c r="D17" s="49" t="s">
        <v>980</v>
      </c>
      <c r="E17" s="49" t="s">
        <v>251</v>
      </c>
      <c r="F17" s="49"/>
      <c r="G17" s="49" t="s">
        <v>242</v>
      </c>
      <c r="H17" s="49">
        <v>50</v>
      </c>
      <c r="I17" s="55">
        <v>150</v>
      </c>
      <c r="J17" s="49" t="s">
        <v>36</v>
      </c>
      <c r="K17" s="49" t="s">
        <v>37</v>
      </c>
    </row>
    <row r="18" spans="1:16">
      <c r="A18" s="92">
        <v>2</v>
      </c>
      <c r="B18" s="49" t="s">
        <v>1217</v>
      </c>
      <c r="C18" s="49" t="s">
        <v>227</v>
      </c>
      <c r="D18" s="49" t="s">
        <v>375</v>
      </c>
      <c r="E18" s="49" t="s">
        <v>235</v>
      </c>
      <c r="F18" s="49"/>
      <c r="G18" s="49" t="s">
        <v>35</v>
      </c>
      <c r="H18" s="49">
        <v>200</v>
      </c>
      <c r="I18" s="55">
        <v>50</v>
      </c>
      <c r="J18" s="49" t="s">
        <v>36</v>
      </c>
      <c r="K18" s="49" t="s">
        <v>37</v>
      </c>
    </row>
    <row r="19" spans="1:16">
      <c r="A19" s="92">
        <v>2</v>
      </c>
      <c r="B19" s="49" t="s">
        <v>1218</v>
      </c>
      <c r="C19" s="49" t="s">
        <v>246</v>
      </c>
      <c r="D19" s="49" t="s">
        <v>1219</v>
      </c>
      <c r="E19" s="49" t="s">
        <v>235</v>
      </c>
      <c r="F19" s="49"/>
      <c r="G19" s="49" t="s">
        <v>120</v>
      </c>
      <c r="H19" s="49">
        <v>20</v>
      </c>
      <c r="I19" s="55">
        <v>100</v>
      </c>
      <c r="J19" s="49" t="s">
        <v>36</v>
      </c>
      <c r="K19" s="49" t="s">
        <v>37</v>
      </c>
    </row>
    <row r="20" spans="1:16">
      <c r="A20" s="92">
        <v>2</v>
      </c>
      <c r="B20" s="49" t="s">
        <v>1220</v>
      </c>
      <c r="C20" s="49" t="s">
        <v>227</v>
      </c>
      <c r="D20" s="49" t="s">
        <v>1179</v>
      </c>
      <c r="E20" s="49" t="s">
        <v>48</v>
      </c>
      <c r="F20" s="49"/>
      <c r="G20" s="49" t="s">
        <v>120</v>
      </c>
      <c r="H20" s="49">
        <v>10</v>
      </c>
      <c r="I20" s="55">
        <v>50</v>
      </c>
      <c r="J20" s="49" t="s">
        <v>36</v>
      </c>
      <c r="K20" s="49" t="s">
        <v>37</v>
      </c>
    </row>
    <row r="21" spans="1:16" ht="15.75" customHeight="1">
      <c r="A21" s="92">
        <v>2</v>
      </c>
      <c r="B21" s="49" t="s">
        <v>1221</v>
      </c>
      <c r="C21" s="49" t="s">
        <v>227</v>
      </c>
      <c r="D21" s="49" t="s">
        <v>295</v>
      </c>
      <c r="E21" s="49" t="s">
        <v>248</v>
      </c>
      <c r="F21" s="49"/>
      <c r="G21" s="49" t="s">
        <v>35</v>
      </c>
      <c r="H21" s="50">
        <v>4800</v>
      </c>
      <c r="I21" s="55">
        <v>720</v>
      </c>
      <c r="J21" s="49" t="s">
        <v>36</v>
      </c>
      <c r="K21" s="49" t="s">
        <v>37</v>
      </c>
    </row>
    <row r="22" spans="1:16" ht="15.75" customHeight="1">
      <c r="A22" s="92">
        <v>2</v>
      </c>
      <c r="B22" s="49" t="s">
        <v>1222</v>
      </c>
      <c r="C22" s="49" t="s">
        <v>246</v>
      </c>
      <c r="D22" s="49" t="s">
        <v>452</v>
      </c>
      <c r="E22" s="49" t="s">
        <v>48</v>
      </c>
      <c r="F22" s="49"/>
      <c r="G22" s="49" t="s">
        <v>35</v>
      </c>
      <c r="H22" s="50">
        <v>1000</v>
      </c>
      <c r="I22" s="55">
        <v>250</v>
      </c>
      <c r="J22" s="49" t="s">
        <v>36</v>
      </c>
      <c r="K22" s="49" t="s">
        <v>37</v>
      </c>
    </row>
    <row r="23" spans="1:16" ht="15.75" customHeight="1">
      <c r="A23" s="92">
        <v>2</v>
      </c>
      <c r="B23" s="49" t="s">
        <v>1223</v>
      </c>
      <c r="C23" s="49" t="s">
        <v>227</v>
      </c>
      <c r="D23" s="49" t="s">
        <v>819</v>
      </c>
      <c r="E23" s="49" t="s">
        <v>235</v>
      </c>
      <c r="F23" s="49"/>
      <c r="G23" s="49" t="s">
        <v>35</v>
      </c>
      <c r="H23" s="49">
        <v>50</v>
      </c>
      <c r="I23" s="55"/>
      <c r="J23" s="49" t="s">
        <v>43</v>
      </c>
      <c r="K23" s="49" t="s">
        <v>37</v>
      </c>
    </row>
    <row r="24" spans="1:16" ht="15.75" customHeight="1">
      <c r="A24" s="92">
        <v>2</v>
      </c>
      <c r="B24" s="49" t="s">
        <v>1224</v>
      </c>
      <c r="C24" s="49" t="s">
        <v>246</v>
      </c>
      <c r="D24" s="49" t="s">
        <v>295</v>
      </c>
      <c r="E24" s="49" t="s">
        <v>248</v>
      </c>
      <c r="F24" s="49"/>
      <c r="G24" s="49" t="s">
        <v>35</v>
      </c>
      <c r="H24" s="49">
        <v>800</v>
      </c>
      <c r="I24" s="55">
        <v>200</v>
      </c>
      <c r="J24" s="49" t="s">
        <v>36</v>
      </c>
      <c r="K24" s="49" t="s">
        <v>37</v>
      </c>
    </row>
    <row r="25" spans="1:16" ht="15.75" customHeight="1">
      <c r="A25" s="92">
        <v>2</v>
      </c>
      <c r="B25" s="49" t="s">
        <v>494</v>
      </c>
      <c r="C25" s="49" t="s">
        <v>227</v>
      </c>
      <c r="D25" s="49" t="s">
        <v>495</v>
      </c>
      <c r="E25" s="49" t="s">
        <v>199</v>
      </c>
      <c r="F25" s="49"/>
      <c r="G25" s="49" t="s">
        <v>120</v>
      </c>
      <c r="H25" s="49">
        <v>60</v>
      </c>
      <c r="I25" s="55">
        <v>300</v>
      </c>
      <c r="J25" s="49" t="s">
        <v>36</v>
      </c>
      <c r="K25" s="49" t="s">
        <v>37</v>
      </c>
    </row>
    <row r="26" spans="1:16" ht="15.75" customHeight="1">
      <c r="A26" s="92">
        <v>2</v>
      </c>
      <c r="B26" s="49" t="s">
        <v>494</v>
      </c>
      <c r="C26" s="49" t="s">
        <v>227</v>
      </c>
      <c r="D26" s="49" t="s">
        <v>495</v>
      </c>
      <c r="E26" s="49" t="s">
        <v>199</v>
      </c>
      <c r="F26" s="49"/>
      <c r="G26" s="49" t="s">
        <v>242</v>
      </c>
      <c r="H26" s="49"/>
      <c r="I26" s="55"/>
      <c r="J26" s="49" t="s">
        <v>36</v>
      </c>
      <c r="K26" s="49" t="s">
        <v>37</v>
      </c>
    </row>
    <row r="27" spans="1:16" ht="15.75" customHeight="1">
      <c r="A27" s="92">
        <v>3</v>
      </c>
      <c r="B27" s="49" t="s">
        <v>1225</v>
      </c>
      <c r="C27" s="49" t="s">
        <v>227</v>
      </c>
      <c r="D27" s="49" t="s">
        <v>619</v>
      </c>
      <c r="E27" s="49" t="s">
        <v>193</v>
      </c>
      <c r="F27" s="49"/>
      <c r="G27" s="49" t="s">
        <v>35</v>
      </c>
      <c r="H27" s="50">
        <v>10000</v>
      </c>
      <c r="I27" s="55">
        <v>1500</v>
      </c>
      <c r="J27" s="49" t="s">
        <v>36</v>
      </c>
      <c r="K27" s="49" t="s">
        <v>37</v>
      </c>
      <c r="P27" s="4"/>
    </row>
    <row r="28" spans="1:16" ht="15.75" customHeight="1">
      <c r="A28" s="92">
        <v>3</v>
      </c>
      <c r="B28" s="49" t="s">
        <v>1226</v>
      </c>
      <c r="C28" s="49" t="s">
        <v>246</v>
      </c>
      <c r="D28" s="49" t="s">
        <v>505</v>
      </c>
      <c r="E28" s="49" t="s">
        <v>235</v>
      </c>
      <c r="F28" s="49"/>
      <c r="G28" s="49" t="s">
        <v>120</v>
      </c>
      <c r="H28" s="49">
        <v>30</v>
      </c>
      <c r="I28" s="55">
        <v>150</v>
      </c>
      <c r="J28" s="49" t="s">
        <v>36</v>
      </c>
      <c r="K28" s="49" t="s">
        <v>37</v>
      </c>
    </row>
    <row r="29" spans="1:16" ht="15.75" customHeight="1">
      <c r="A29" s="92">
        <v>3</v>
      </c>
      <c r="B29" s="49" t="s">
        <v>1227</v>
      </c>
      <c r="C29" s="49" t="s">
        <v>246</v>
      </c>
      <c r="D29" s="49" t="s">
        <v>32</v>
      </c>
      <c r="E29" s="49" t="s">
        <v>507</v>
      </c>
      <c r="F29" s="49"/>
      <c r="G29" s="49" t="s">
        <v>120</v>
      </c>
      <c r="H29" s="49">
        <v>20</v>
      </c>
      <c r="I29" s="55">
        <v>100</v>
      </c>
      <c r="J29" s="49" t="s">
        <v>36</v>
      </c>
      <c r="K29" s="49" t="s">
        <v>37</v>
      </c>
    </row>
    <row r="30" spans="1:16" ht="15.75" customHeight="1">
      <c r="A30" s="92">
        <v>4</v>
      </c>
      <c r="B30" s="49" t="s">
        <v>1228</v>
      </c>
      <c r="C30" s="49" t="s">
        <v>227</v>
      </c>
      <c r="D30" s="49" t="s">
        <v>873</v>
      </c>
      <c r="E30" s="49" t="s">
        <v>251</v>
      </c>
      <c r="F30" s="49"/>
      <c r="G30" s="49" t="s">
        <v>120</v>
      </c>
      <c r="H30" s="49">
        <v>22</v>
      </c>
      <c r="I30" s="55">
        <v>110</v>
      </c>
      <c r="J30" s="49" t="s">
        <v>36</v>
      </c>
      <c r="K30" s="49" t="s">
        <v>37</v>
      </c>
    </row>
    <row r="31" spans="1:16" ht="15.75" customHeight="1">
      <c r="A31" s="92">
        <v>4</v>
      </c>
      <c r="B31" s="49" t="s">
        <v>1229</v>
      </c>
      <c r="C31" s="49" t="s">
        <v>227</v>
      </c>
      <c r="D31" s="49" t="s">
        <v>934</v>
      </c>
      <c r="E31" s="49" t="s">
        <v>48</v>
      </c>
      <c r="F31" s="49"/>
      <c r="G31" s="49" t="s">
        <v>120</v>
      </c>
      <c r="H31" s="49">
        <v>40</v>
      </c>
      <c r="I31" s="55">
        <v>200</v>
      </c>
      <c r="J31" s="49" t="s">
        <v>36</v>
      </c>
      <c r="K31" s="49" t="s">
        <v>37</v>
      </c>
    </row>
    <row r="32" spans="1:16" ht="15.75" customHeight="1">
      <c r="A32" s="92">
        <v>4</v>
      </c>
      <c r="B32" s="49" t="s">
        <v>1230</v>
      </c>
      <c r="C32" s="49" t="s">
        <v>227</v>
      </c>
      <c r="D32" s="49" t="s">
        <v>33</v>
      </c>
      <c r="E32" s="49" t="s">
        <v>41</v>
      </c>
      <c r="F32" s="49"/>
      <c r="G32" s="49" t="s">
        <v>35</v>
      </c>
      <c r="H32" s="50">
        <v>1300</v>
      </c>
      <c r="I32" s="55">
        <v>195</v>
      </c>
      <c r="J32" s="49" t="s">
        <v>36</v>
      </c>
      <c r="K32" s="49" t="s">
        <v>37</v>
      </c>
    </row>
    <row r="33" spans="1:16" ht="15.75" customHeight="1">
      <c r="A33" s="92">
        <v>4</v>
      </c>
      <c r="B33" s="49" t="s">
        <v>1230</v>
      </c>
      <c r="C33" s="49" t="s">
        <v>227</v>
      </c>
      <c r="D33" s="49" t="s">
        <v>33</v>
      </c>
      <c r="E33" s="49" t="s">
        <v>41</v>
      </c>
      <c r="F33" s="49"/>
      <c r="G33" s="49" t="s">
        <v>120</v>
      </c>
      <c r="H33" s="49">
        <v>37</v>
      </c>
      <c r="I33" s="55">
        <v>185</v>
      </c>
      <c r="J33" s="49" t="s">
        <v>36</v>
      </c>
      <c r="K33" s="49" t="s">
        <v>37</v>
      </c>
    </row>
    <row r="34" spans="1:16" ht="15.75" customHeight="1">
      <c r="A34" s="92">
        <v>4</v>
      </c>
      <c r="B34" s="49" t="s">
        <v>868</v>
      </c>
      <c r="C34" s="49" t="s">
        <v>227</v>
      </c>
      <c r="D34" s="49" t="s">
        <v>780</v>
      </c>
      <c r="E34" s="49" t="s">
        <v>80</v>
      </c>
      <c r="F34" s="49"/>
      <c r="G34" s="49" t="s">
        <v>35</v>
      </c>
      <c r="H34" s="50">
        <v>13000</v>
      </c>
      <c r="I34" s="55">
        <v>1950</v>
      </c>
      <c r="J34" s="49" t="s">
        <v>36</v>
      </c>
      <c r="K34" s="49" t="s">
        <v>37</v>
      </c>
      <c r="P34" s="4"/>
    </row>
    <row r="35" spans="1:16" ht="15.75" customHeight="1">
      <c r="A35" s="92">
        <v>4</v>
      </c>
      <c r="B35" s="49" t="s">
        <v>1231</v>
      </c>
      <c r="C35" s="49" t="s">
        <v>227</v>
      </c>
      <c r="D35" s="49" t="s">
        <v>1232</v>
      </c>
      <c r="E35" s="49" t="s">
        <v>254</v>
      </c>
      <c r="F35" s="49"/>
      <c r="G35" s="49" t="s">
        <v>120</v>
      </c>
      <c r="H35" s="49">
        <v>23</v>
      </c>
      <c r="I35" s="55">
        <v>115</v>
      </c>
      <c r="J35" s="49" t="s">
        <v>36</v>
      </c>
      <c r="K35" s="49" t="s">
        <v>37</v>
      </c>
    </row>
    <row r="36" spans="1:16" ht="15.75" customHeight="1">
      <c r="A36" s="92">
        <v>5</v>
      </c>
      <c r="B36" s="49" t="s">
        <v>1233</v>
      </c>
      <c r="C36" s="49" t="s">
        <v>227</v>
      </c>
      <c r="D36" s="49" t="s">
        <v>394</v>
      </c>
      <c r="E36" s="49" t="s">
        <v>232</v>
      </c>
      <c r="F36" s="49"/>
      <c r="G36" s="49" t="s">
        <v>35</v>
      </c>
      <c r="H36" s="50">
        <v>2200</v>
      </c>
      <c r="I36" s="55">
        <v>330</v>
      </c>
      <c r="J36" s="49" t="s">
        <v>36</v>
      </c>
      <c r="K36" s="49" t="s">
        <v>37</v>
      </c>
    </row>
    <row r="37" spans="1:16" ht="15.75" customHeight="1">
      <c r="A37" s="92">
        <v>5</v>
      </c>
      <c r="B37" s="49" t="s">
        <v>1234</v>
      </c>
      <c r="C37" s="49" t="s">
        <v>227</v>
      </c>
      <c r="D37" s="49" t="s">
        <v>1235</v>
      </c>
      <c r="E37" s="49" t="s">
        <v>84</v>
      </c>
      <c r="F37" s="49"/>
      <c r="G37" s="49" t="s">
        <v>35</v>
      </c>
      <c r="H37" s="49">
        <v>100</v>
      </c>
      <c r="I37" s="55"/>
      <c r="J37" s="49" t="s">
        <v>43</v>
      </c>
      <c r="K37" s="49" t="s">
        <v>37</v>
      </c>
    </row>
    <row r="38" spans="1:16" ht="15.75" customHeight="1">
      <c r="A38" s="92">
        <v>5</v>
      </c>
      <c r="B38" s="49" t="s">
        <v>1236</v>
      </c>
      <c r="C38" s="49" t="s">
        <v>227</v>
      </c>
      <c r="D38" s="49" t="s">
        <v>1237</v>
      </c>
      <c r="E38" s="49" t="s">
        <v>48</v>
      </c>
      <c r="F38" s="49"/>
      <c r="G38" s="49" t="s">
        <v>35</v>
      </c>
      <c r="H38" s="50">
        <v>1000</v>
      </c>
      <c r="I38" s="55">
        <v>250</v>
      </c>
      <c r="J38" s="49" t="s">
        <v>36</v>
      </c>
      <c r="K38" s="49" t="s">
        <v>37</v>
      </c>
    </row>
    <row r="39" spans="1:16" ht="15.75" customHeight="1">
      <c r="A39" s="92">
        <v>5</v>
      </c>
      <c r="B39" s="49" t="s">
        <v>1238</v>
      </c>
      <c r="C39" s="49" t="s">
        <v>227</v>
      </c>
      <c r="D39" s="49" t="s">
        <v>407</v>
      </c>
      <c r="E39" s="49" t="s">
        <v>307</v>
      </c>
      <c r="F39" s="49"/>
      <c r="G39" s="49" t="s">
        <v>35</v>
      </c>
      <c r="H39" s="49">
        <v>100</v>
      </c>
      <c r="I39" s="55">
        <v>25</v>
      </c>
      <c r="J39" s="49" t="s">
        <v>36</v>
      </c>
      <c r="K39" s="49" t="s">
        <v>37</v>
      </c>
    </row>
    <row r="40" spans="1:16" ht="15.75" customHeight="1">
      <c r="A40" s="92">
        <v>5</v>
      </c>
      <c r="B40" s="49" t="s">
        <v>1239</v>
      </c>
      <c r="C40" s="49" t="s">
        <v>227</v>
      </c>
      <c r="D40" s="49" t="s">
        <v>607</v>
      </c>
      <c r="E40" s="49" t="s">
        <v>235</v>
      </c>
      <c r="F40" s="49"/>
      <c r="G40" s="49" t="s">
        <v>120</v>
      </c>
      <c r="H40" s="49">
        <v>22</v>
      </c>
      <c r="I40" s="55">
        <v>110</v>
      </c>
      <c r="J40" s="49" t="s">
        <v>36</v>
      </c>
      <c r="K40" s="49" t="s">
        <v>37</v>
      </c>
    </row>
    <row r="41" spans="1:16" ht="15.75" customHeight="1">
      <c r="A41" s="92">
        <v>6</v>
      </c>
      <c r="B41" s="49" t="s">
        <v>1240</v>
      </c>
      <c r="C41" s="49" t="s">
        <v>227</v>
      </c>
      <c r="D41" s="49" t="s">
        <v>396</v>
      </c>
      <c r="E41" s="49" t="s">
        <v>254</v>
      </c>
      <c r="F41" s="49"/>
      <c r="G41" s="49" t="s">
        <v>120</v>
      </c>
      <c r="H41" s="49">
        <v>20</v>
      </c>
      <c r="I41" s="55">
        <v>100</v>
      </c>
      <c r="J41" s="49" t="s">
        <v>36</v>
      </c>
      <c r="K41" s="49" t="s">
        <v>37</v>
      </c>
    </row>
    <row r="42" spans="1:16" ht="15.75" customHeight="1">
      <c r="A42" s="92">
        <v>6</v>
      </c>
      <c r="B42" s="49" t="s">
        <v>1241</v>
      </c>
      <c r="C42" s="49" t="s">
        <v>227</v>
      </c>
      <c r="D42" s="49" t="s">
        <v>295</v>
      </c>
      <c r="E42" s="49" t="s">
        <v>248</v>
      </c>
      <c r="F42" s="49"/>
      <c r="G42" s="49" t="s">
        <v>35</v>
      </c>
      <c r="H42" s="49">
        <v>500</v>
      </c>
      <c r="I42" s="55">
        <v>125</v>
      </c>
      <c r="J42" s="49" t="s">
        <v>36</v>
      </c>
      <c r="K42" s="49" t="s">
        <v>37</v>
      </c>
    </row>
    <row r="43" spans="1:16" ht="15.75" customHeight="1">
      <c r="A43" s="92">
        <v>6</v>
      </c>
      <c r="B43" s="49" t="s">
        <v>1242</v>
      </c>
      <c r="C43" s="49" t="s">
        <v>227</v>
      </c>
      <c r="D43" s="49" t="s">
        <v>1243</v>
      </c>
      <c r="E43" s="49" t="s">
        <v>251</v>
      </c>
      <c r="F43" s="49"/>
      <c r="G43" s="49" t="s">
        <v>35</v>
      </c>
      <c r="H43" s="49">
        <v>100</v>
      </c>
      <c r="I43" s="55">
        <v>25</v>
      </c>
      <c r="J43" s="49" t="s">
        <v>36</v>
      </c>
      <c r="K43" s="49" t="s">
        <v>37</v>
      </c>
    </row>
    <row r="44" spans="1:16" ht="15.75" customHeight="1">
      <c r="A44" s="92">
        <v>6</v>
      </c>
      <c r="B44" s="49" t="s">
        <v>1244</v>
      </c>
      <c r="C44" s="49" t="s">
        <v>227</v>
      </c>
      <c r="D44" s="49" t="s">
        <v>1245</v>
      </c>
      <c r="E44" s="49" t="s">
        <v>323</v>
      </c>
      <c r="F44" s="49"/>
      <c r="G44" s="49" t="s">
        <v>35</v>
      </c>
      <c r="H44" s="49">
        <v>100</v>
      </c>
      <c r="I44" s="55">
        <v>25</v>
      </c>
      <c r="J44" s="49" t="s">
        <v>36</v>
      </c>
      <c r="K44" s="49" t="s">
        <v>37</v>
      </c>
    </row>
    <row r="45" spans="1:16" ht="15.75" customHeight="1">
      <c r="A45" s="92">
        <v>6</v>
      </c>
      <c r="B45" s="49" t="s">
        <v>1246</v>
      </c>
      <c r="C45" s="49" t="s">
        <v>246</v>
      </c>
      <c r="D45" s="49" t="s">
        <v>819</v>
      </c>
      <c r="E45" s="49" t="s">
        <v>235</v>
      </c>
      <c r="F45" s="49"/>
      <c r="G45" s="49" t="s">
        <v>120</v>
      </c>
      <c r="H45" s="49">
        <v>30</v>
      </c>
      <c r="I45" s="55">
        <v>150</v>
      </c>
      <c r="J45" s="49" t="s">
        <v>36</v>
      </c>
      <c r="K45" s="49" t="s">
        <v>37</v>
      </c>
    </row>
    <row r="46" spans="1:16" ht="15.75" customHeight="1">
      <c r="A46" s="92">
        <v>6</v>
      </c>
      <c r="B46" s="49" t="s">
        <v>1246</v>
      </c>
      <c r="C46" s="49" t="s">
        <v>246</v>
      </c>
      <c r="D46" s="49" t="s">
        <v>819</v>
      </c>
      <c r="E46" s="49" t="s">
        <v>235</v>
      </c>
      <c r="F46" s="49"/>
      <c r="G46" s="49" t="s">
        <v>120</v>
      </c>
      <c r="H46" s="49">
        <v>4</v>
      </c>
      <c r="I46" s="55">
        <v>400</v>
      </c>
      <c r="J46" s="49" t="s">
        <v>36</v>
      </c>
      <c r="K46" s="49" t="s">
        <v>37</v>
      </c>
    </row>
    <row r="47" spans="1:16" ht="15.75" customHeight="1">
      <c r="A47" s="92">
        <v>6</v>
      </c>
      <c r="B47" s="49" t="s">
        <v>1018</v>
      </c>
      <c r="C47" s="49" t="s">
        <v>227</v>
      </c>
      <c r="D47" s="49" t="s">
        <v>239</v>
      </c>
      <c r="E47" s="49" t="s">
        <v>232</v>
      </c>
      <c r="F47" s="49"/>
      <c r="G47" s="49" t="s">
        <v>120</v>
      </c>
      <c r="H47" s="49">
        <v>30</v>
      </c>
      <c r="I47" s="55"/>
      <c r="J47" s="49" t="s">
        <v>36</v>
      </c>
      <c r="K47" s="49" t="s">
        <v>37</v>
      </c>
    </row>
    <row r="48" spans="1:16" ht="15.75" customHeight="1">
      <c r="A48" s="92">
        <v>6</v>
      </c>
      <c r="B48" s="49" t="s">
        <v>726</v>
      </c>
      <c r="C48" s="49" t="s">
        <v>227</v>
      </c>
      <c r="D48" s="49" t="s">
        <v>295</v>
      </c>
      <c r="E48" s="49" t="s">
        <v>248</v>
      </c>
      <c r="F48" s="49"/>
      <c r="G48" s="49" t="s">
        <v>35</v>
      </c>
      <c r="H48" s="50">
        <v>2000</v>
      </c>
      <c r="I48" s="55">
        <v>300</v>
      </c>
      <c r="J48" s="49" t="s">
        <v>36</v>
      </c>
      <c r="K48" s="49" t="s">
        <v>37</v>
      </c>
    </row>
    <row r="49" spans="1:16" ht="15.75" customHeight="1">
      <c r="A49" s="92">
        <v>6</v>
      </c>
      <c r="B49" s="49" t="s">
        <v>1247</v>
      </c>
      <c r="C49" s="49" t="s">
        <v>227</v>
      </c>
      <c r="D49" s="49" t="s">
        <v>679</v>
      </c>
      <c r="E49" s="49" t="s">
        <v>232</v>
      </c>
      <c r="F49" s="49"/>
      <c r="G49" s="49" t="s">
        <v>35</v>
      </c>
      <c r="H49" s="50">
        <v>2500</v>
      </c>
      <c r="I49" s="55">
        <v>375</v>
      </c>
      <c r="J49" s="49" t="s">
        <v>36</v>
      </c>
      <c r="K49" s="49" t="s">
        <v>37</v>
      </c>
    </row>
    <row r="50" spans="1:16" ht="15.75" customHeight="1">
      <c r="A50" s="92">
        <v>7</v>
      </c>
      <c r="B50" s="49" t="s">
        <v>1248</v>
      </c>
      <c r="C50" s="49" t="s">
        <v>227</v>
      </c>
      <c r="D50" s="49" t="s">
        <v>1249</v>
      </c>
      <c r="E50" s="49" t="s">
        <v>251</v>
      </c>
      <c r="F50" s="49"/>
      <c r="G50" s="49" t="s">
        <v>120</v>
      </c>
      <c r="H50" s="49">
        <v>12</v>
      </c>
      <c r="I50" s="55">
        <v>60</v>
      </c>
      <c r="J50" s="49" t="s">
        <v>36</v>
      </c>
      <c r="K50" s="49" t="s">
        <v>37</v>
      </c>
    </row>
    <row r="51" spans="1:16" ht="15.75" customHeight="1">
      <c r="A51" s="92">
        <v>8</v>
      </c>
      <c r="B51" s="49" t="s">
        <v>1250</v>
      </c>
      <c r="C51" s="49" t="s">
        <v>246</v>
      </c>
      <c r="D51" s="49" t="s">
        <v>295</v>
      </c>
      <c r="E51" s="49" t="s">
        <v>248</v>
      </c>
      <c r="F51" s="49"/>
      <c r="G51" s="49" t="s">
        <v>35</v>
      </c>
      <c r="H51" s="50">
        <v>2500</v>
      </c>
      <c r="I51" s="55">
        <v>625</v>
      </c>
      <c r="J51" s="49" t="s">
        <v>36</v>
      </c>
      <c r="K51" s="49" t="s">
        <v>37</v>
      </c>
    </row>
    <row r="52" spans="1:16" ht="15.75" customHeight="1">
      <c r="A52" s="92">
        <v>8</v>
      </c>
      <c r="B52" s="49" t="s">
        <v>1251</v>
      </c>
      <c r="C52" s="49" t="s">
        <v>227</v>
      </c>
      <c r="D52" s="49" t="s">
        <v>268</v>
      </c>
      <c r="E52" s="49" t="s">
        <v>248</v>
      </c>
      <c r="F52" s="49"/>
      <c r="G52" s="49" t="s">
        <v>35</v>
      </c>
      <c r="H52" s="50">
        <v>3000</v>
      </c>
      <c r="I52" s="55">
        <v>450</v>
      </c>
      <c r="J52" s="49" t="s">
        <v>36</v>
      </c>
      <c r="K52" s="49" t="s">
        <v>37</v>
      </c>
      <c r="P52" s="4"/>
    </row>
    <row r="53" spans="1:16" ht="15.75" customHeight="1">
      <c r="A53" s="92">
        <v>8</v>
      </c>
      <c r="B53" s="49" t="s">
        <v>1252</v>
      </c>
      <c r="C53" s="49" t="s">
        <v>227</v>
      </c>
      <c r="D53" s="49" t="s">
        <v>407</v>
      </c>
      <c r="E53" s="49" t="s">
        <v>321</v>
      </c>
      <c r="F53" s="49"/>
      <c r="G53" s="49" t="s">
        <v>120</v>
      </c>
      <c r="H53" s="49">
        <v>50</v>
      </c>
      <c r="I53" s="55">
        <v>250</v>
      </c>
      <c r="J53" s="49" t="s">
        <v>36</v>
      </c>
      <c r="K53" s="49" t="s">
        <v>37</v>
      </c>
    </row>
    <row r="54" spans="1:16" ht="15.75" customHeight="1">
      <c r="A54" s="92">
        <v>8</v>
      </c>
      <c r="B54" s="49" t="s">
        <v>1253</v>
      </c>
      <c r="C54" s="49" t="s">
        <v>227</v>
      </c>
      <c r="D54" s="49" t="s">
        <v>947</v>
      </c>
      <c r="E54" s="49" t="s">
        <v>307</v>
      </c>
      <c r="F54" s="49"/>
      <c r="G54" s="49" t="s">
        <v>120</v>
      </c>
      <c r="H54" s="49">
        <v>6</v>
      </c>
      <c r="I54" s="55">
        <v>30</v>
      </c>
      <c r="J54" s="49" t="s">
        <v>36</v>
      </c>
      <c r="K54" s="49" t="s">
        <v>37</v>
      </c>
    </row>
    <row r="55" spans="1:16" ht="15.75" customHeight="1">
      <c r="A55" s="92">
        <v>8</v>
      </c>
      <c r="B55" s="49" t="s">
        <v>1254</v>
      </c>
      <c r="C55" s="49" t="s">
        <v>246</v>
      </c>
      <c r="D55" s="49" t="s">
        <v>1255</v>
      </c>
      <c r="E55" s="49" t="s">
        <v>323</v>
      </c>
      <c r="F55" s="49"/>
      <c r="G55" s="49" t="s">
        <v>120</v>
      </c>
      <c r="H55" s="49">
        <v>100</v>
      </c>
      <c r="I55" s="55">
        <v>500</v>
      </c>
      <c r="J55" s="49" t="s">
        <v>36</v>
      </c>
      <c r="K55" s="49" t="s">
        <v>37</v>
      </c>
    </row>
    <row r="56" spans="1:16" ht="15.75" customHeight="1">
      <c r="A56" s="92">
        <v>8</v>
      </c>
      <c r="B56" s="49" t="s">
        <v>1256</v>
      </c>
      <c r="C56" s="49" t="s">
        <v>246</v>
      </c>
      <c r="D56" s="49" t="s">
        <v>32</v>
      </c>
      <c r="E56" s="49" t="s">
        <v>307</v>
      </c>
      <c r="F56" s="49"/>
      <c r="G56" s="49" t="s">
        <v>35</v>
      </c>
      <c r="H56" s="49">
        <v>100</v>
      </c>
      <c r="I56" s="55">
        <v>25</v>
      </c>
      <c r="J56" s="49" t="s">
        <v>36</v>
      </c>
      <c r="K56" s="49" t="s">
        <v>37</v>
      </c>
    </row>
    <row r="57" spans="1:16" ht="15.75" customHeight="1">
      <c r="A57" s="92">
        <v>8</v>
      </c>
      <c r="B57" s="49" t="s">
        <v>1256</v>
      </c>
      <c r="C57" s="49" t="s">
        <v>246</v>
      </c>
      <c r="D57" s="49" t="s">
        <v>32</v>
      </c>
      <c r="E57" s="49" t="s">
        <v>307</v>
      </c>
      <c r="F57" s="49"/>
      <c r="G57" s="49" t="s">
        <v>120</v>
      </c>
      <c r="H57" s="49">
        <v>20</v>
      </c>
      <c r="I57" s="55">
        <v>100</v>
      </c>
      <c r="J57" s="49" t="s">
        <v>36</v>
      </c>
      <c r="K57" s="49" t="s">
        <v>37</v>
      </c>
    </row>
    <row r="58" spans="1:16" ht="15.75" customHeight="1">
      <c r="A58" s="92">
        <v>8</v>
      </c>
      <c r="B58" s="49" t="s">
        <v>1257</v>
      </c>
      <c r="C58" s="49" t="s">
        <v>227</v>
      </c>
      <c r="D58" s="49" t="s">
        <v>758</v>
      </c>
      <c r="E58" s="49" t="s">
        <v>254</v>
      </c>
      <c r="F58" s="49"/>
      <c r="G58" s="49" t="s">
        <v>35</v>
      </c>
      <c r="H58" s="49">
        <v>60</v>
      </c>
      <c r="I58" s="55">
        <v>15</v>
      </c>
      <c r="J58" s="49" t="s">
        <v>36</v>
      </c>
      <c r="K58" s="49" t="s">
        <v>37</v>
      </c>
    </row>
    <row r="59" spans="1:16" ht="15.75" customHeight="1">
      <c r="A59" s="92">
        <v>8</v>
      </c>
      <c r="B59" s="49" t="s">
        <v>1257</v>
      </c>
      <c r="C59" s="49" t="s">
        <v>227</v>
      </c>
      <c r="D59" s="49" t="s">
        <v>758</v>
      </c>
      <c r="E59" s="49" t="s">
        <v>254</v>
      </c>
      <c r="F59" s="49"/>
      <c r="G59" s="49" t="s">
        <v>120</v>
      </c>
      <c r="H59" s="49">
        <v>10</v>
      </c>
      <c r="I59" s="55">
        <v>50</v>
      </c>
      <c r="J59" s="49" t="s">
        <v>36</v>
      </c>
      <c r="K59" s="49" t="s">
        <v>37</v>
      </c>
    </row>
    <row r="60" spans="1:16" ht="15.75" customHeight="1">
      <c r="A60" s="92">
        <v>8</v>
      </c>
      <c r="B60" s="49" t="s">
        <v>1258</v>
      </c>
      <c r="C60" s="49" t="s">
        <v>246</v>
      </c>
      <c r="D60" s="49" t="s">
        <v>1092</v>
      </c>
      <c r="E60" s="49" t="s">
        <v>254</v>
      </c>
      <c r="G60" s="49" t="s">
        <v>1259</v>
      </c>
      <c r="H60" s="48" t="s">
        <v>1260</v>
      </c>
      <c r="I60" s="55">
        <v>560</v>
      </c>
      <c r="J60" s="49" t="s">
        <v>36</v>
      </c>
      <c r="K60" s="49" t="s">
        <v>37</v>
      </c>
    </row>
    <row r="61" spans="1:16" ht="15.75" customHeight="1">
      <c r="A61" s="92">
        <v>8</v>
      </c>
      <c r="B61" s="49" t="s">
        <v>1261</v>
      </c>
      <c r="C61" s="49" t="s">
        <v>246</v>
      </c>
      <c r="D61" s="49" t="s">
        <v>607</v>
      </c>
      <c r="E61" s="49" t="s">
        <v>235</v>
      </c>
      <c r="F61" s="49"/>
      <c r="G61" s="49" t="s">
        <v>120</v>
      </c>
      <c r="H61" s="49">
        <v>10</v>
      </c>
      <c r="I61" s="55">
        <v>50</v>
      </c>
      <c r="J61" s="49" t="s">
        <v>36</v>
      </c>
      <c r="K61" s="49" t="s">
        <v>37</v>
      </c>
    </row>
    <row r="62" spans="1:16" ht="15.75" customHeight="1">
      <c r="A62" s="92">
        <v>9</v>
      </c>
      <c r="B62" s="49" t="s">
        <v>1262</v>
      </c>
      <c r="C62" s="49" t="s">
        <v>227</v>
      </c>
      <c r="D62" s="49" t="s">
        <v>250</v>
      </c>
      <c r="E62" s="49" t="s">
        <v>251</v>
      </c>
      <c r="F62" s="49"/>
      <c r="G62" s="49" t="s">
        <v>120</v>
      </c>
      <c r="H62" s="49">
        <v>50</v>
      </c>
      <c r="I62" s="55">
        <v>250</v>
      </c>
      <c r="J62" s="49" t="s">
        <v>36</v>
      </c>
      <c r="K62" s="49" t="s">
        <v>37</v>
      </c>
    </row>
    <row r="63" spans="1:16" ht="15.75" customHeight="1">
      <c r="A63" s="92">
        <v>9</v>
      </c>
      <c r="B63" s="49" t="s">
        <v>1107</v>
      </c>
      <c r="C63" s="49" t="s">
        <v>227</v>
      </c>
      <c r="D63" s="49" t="s">
        <v>604</v>
      </c>
      <c r="E63" s="49" t="s">
        <v>235</v>
      </c>
      <c r="F63" s="49"/>
      <c r="G63" s="49" t="s">
        <v>35</v>
      </c>
      <c r="H63" s="49">
        <v>700</v>
      </c>
      <c r="I63" s="55">
        <v>175</v>
      </c>
      <c r="J63" s="49" t="s">
        <v>36</v>
      </c>
      <c r="K63" s="49" t="s">
        <v>37</v>
      </c>
    </row>
    <row r="64" spans="1:16" ht="15.75" customHeight="1">
      <c r="A64" s="92">
        <v>9</v>
      </c>
      <c r="B64" s="49" t="s">
        <v>1263</v>
      </c>
      <c r="C64" s="49" t="s">
        <v>227</v>
      </c>
      <c r="D64" s="49" t="s">
        <v>616</v>
      </c>
      <c r="E64" s="49" t="s">
        <v>507</v>
      </c>
      <c r="F64" s="49"/>
      <c r="G64" s="49" t="s">
        <v>35</v>
      </c>
      <c r="H64" s="50">
        <v>1200</v>
      </c>
      <c r="I64" s="55">
        <v>180</v>
      </c>
      <c r="J64" s="49" t="s">
        <v>36</v>
      </c>
      <c r="K64" s="49" t="s">
        <v>37</v>
      </c>
    </row>
    <row r="65" spans="1:16" ht="15.75" customHeight="1">
      <c r="A65" s="92">
        <v>9</v>
      </c>
      <c r="B65" s="49" t="s">
        <v>1264</v>
      </c>
      <c r="C65" s="49" t="s">
        <v>227</v>
      </c>
      <c r="D65" s="49" t="s">
        <v>290</v>
      </c>
      <c r="E65" s="49" t="s">
        <v>232</v>
      </c>
      <c r="F65" s="49"/>
      <c r="G65" s="49" t="s">
        <v>35</v>
      </c>
      <c r="H65" s="49">
        <v>200</v>
      </c>
      <c r="I65" s="55">
        <v>30</v>
      </c>
      <c r="J65" s="49" t="s">
        <v>36</v>
      </c>
      <c r="K65" s="49" t="s">
        <v>37</v>
      </c>
    </row>
    <row r="66" spans="1:16" ht="15.75" customHeight="1">
      <c r="A66" s="92">
        <v>9</v>
      </c>
      <c r="B66" s="49" t="s">
        <v>1264</v>
      </c>
      <c r="C66" s="49" t="s">
        <v>227</v>
      </c>
      <c r="D66" s="49" t="s">
        <v>290</v>
      </c>
      <c r="E66" s="49" t="s">
        <v>232</v>
      </c>
      <c r="F66" s="49"/>
      <c r="G66" s="49" t="s">
        <v>170</v>
      </c>
      <c r="H66" s="49">
        <v>200</v>
      </c>
      <c r="I66" s="55">
        <v>120</v>
      </c>
      <c r="J66" s="49" t="s">
        <v>36</v>
      </c>
      <c r="K66" s="49" t="s">
        <v>37</v>
      </c>
    </row>
    <row r="67" spans="1:16" ht="15.75" customHeight="1">
      <c r="A67" s="92">
        <v>9</v>
      </c>
      <c r="B67" s="49" t="s">
        <v>1265</v>
      </c>
      <c r="C67" s="49" t="s">
        <v>227</v>
      </c>
      <c r="D67" s="49" t="s">
        <v>394</v>
      </c>
      <c r="E67" s="49" t="s">
        <v>232</v>
      </c>
      <c r="F67" s="49"/>
      <c r="G67" s="49" t="s">
        <v>35</v>
      </c>
      <c r="H67" s="49">
        <v>500</v>
      </c>
      <c r="I67" s="55"/>
      <c r="J67" s="49" t="s">
        <v>43</v>
      </c>
      <c r="K67" s="49" t="s">
        <v>37</v>
      </c>
    </row>
    <row r="68" spans="1:16" ht="15.75" customHeight="1">
      <c r="A68" s="92">
        <v>9</v>
      </c>
      <c r="B68" s="49" t="s">
        <v>1266</v>
      </c>
      <c r="C68" s="49" t="s">
        <v>227</v>
      </c>
      <c r="D68" s="49" t="s">
        <v>394</v>
      </c>
      <c r="E68" s="49" t="s">
        <v>232</v>
      </c>
      <c r="F68" s="49"/>
      <c r="G68" s="49" t="s">
        <v>35</v>
      </c>
      <c r="H68" s="49">
        <v>500</v>
      </c>
      <c r="I68" s="55"/>
      <c r="J68" s="49" t="s">
        <v>43</v>
      </c>
      <c r="K68" s="49" t="s">
        <v>37</v>
      </c>
    </row>
    <row r="69" spans="1:16" ht="15.75" customHeight="1">
      <c r="A69" s="92">
        <v>9</v>
      </c>
      <c r="B69" s="49" t="s">
        <v>1267</v>
      </c>
      <c r="C69" s="49" t="s">
        <v>246</v>
      </c>
      <c r="D69" s="49" t="s">
        <v>385</v>
      </c>
      <c r="E69" s="49" t="s">
        <v>232</v>
      </c>
      <c r="F69" s="49"/>
      <c r="G69" s="49" t="s">
        <v>35</v>
      </c>
      <c r="H69" s="50">
        <v>1000</v>
      </c>
      <c r="I69" s="55">
        <v>150</v>
      </c>
      <c r="J69" s="49" t="s">
        <v>36</v>
      </c>
      <c r="K69" s="49" t="s">
        <v>37</v>
      </c>
    </row>
    <row r="70" spans="1:16" ht="15.75" customHeight="1">
      <c r="A70" s="92">
        <v>9</v>
      </c>
      <c r="B70" s="49" t="s">
        <v>1267</v>
      </c>
      <c r="C70" s="49" t="s">
        <v>246</v>
      </c>
      <c r="D70" s="49" t="s">
        <v>385</v>
      </c>
      <c r="E70" s="49" t="s">
        <v>232</v>
      </c>
      <c r="F70" s="49"/>
      <c r="G70" s="49" t="s">
        <v>170</v>
      </c>
      <c r="H70" s="49">
        <v>500</v>
      </c>
      <c r="I70" s="55">
        <v>300</v>
      </c>
      <c r="J70" s="49" t="s">
        <v>36</v>
      </c>
      <c r="K70" s="49" t="s">
        <v>37</v>
      </c>
    </row>
    <row r="71" spans="1:16" ht="15.75" customHeight="1">
      <c r="A71" s="92">
        <v>9</v>
      </c>
      <c r="B71" s="49" t="s">
        <v>1267</v>
      </c>
      <c r="C71" s="49" t="s">
        <v>246</v>
      </c>
      <c r="D71" s="49" t="s">
        <v>385</v>
      </c>
      <c r="E71" s="49" t="s">
        <v>232</v>
      </c>
      <c r="F71" s="49"/>
      <c r="G71" s="49" t="s">
        <v>242</v>
      </c>
      <c r="H71" s="49">
        <v>30</v>
      </c>
      <c r="I71" s="55">
        <v>90</v>
      </c>
      <c r="J71" s="49" t="s">
        <v>36</v>
      </c>
      <c r="K71" s="49" t="s">
        <v>37</v>
      </c>
    </row>
    <row r="72" spans="1:16" ht="15.75" customHeight="1">
      <c r="A72" s="92">
        <v>9</v>
      </c>
      <c r="B72" s="49" t="s">
        <v>1268</v>
      </c>
      <c r="C72" s="49" t="s">
        <v>227</v>
      </c>
      <c r="D72" s="49" t="s">
        <v>947</v>
      </c>
      <c r="E72" s="49" t="s">
        <v>307</v>
      </c>
      <c r="F72" s="49"/>
      <c r="G72" s="49" t="s">
        <v>120</v>
      </c>
      <c r="H72" s="49">
        <v>20</v>
      </c>
      <c r="I72" s="55">
        <v>100</v>
      </c>
      <c r="J72" s="49" t="s">
        <v>36</v>
      </c>
      <c r="K72" s="49" t="s">
        <v>37</v>
      </c>
    </row>
    <row r="73" spans="1:16" ht="15.75" customHeight="1">
      <c r="A73" s="92">
        <v>9</v>
      </c>
      <c r="B73" s="49" t="s">
        <v>1269</v>
      </c>
      <c r="C73" s="49" t="s">
        <v>227</v>
      </c>
      <c r="D73" s="49" t="s">
        <v>385</v>
      </c>
      <c r="E73" s="49" t="s">
        <v>232</v>
      </c>
      <c r="F73" s="49"/>
      <c r="G73" s="49" t="s">
        <v>35</v>
      </c>
      <c r="H73" s="50">
        <v>1500</v>
      </c>
      <c r="I73" s="55"/>
      <c r="J73" s="49" t="s">
        <v>43</v>
      </c>
      <c r="K73" s="49" t="s">
        <v>37</v>
      </c>
    </row>
    <row r="74" spans="1:16" ht="15.75" customHeight="1">
      <c r="A74" s="92">
        <v>11</v>
      </c>
      <c r="B74" s="49" t="s">
        <v>755</v>
      </c>
      <c r="C74" s="49" t="s">
        <v>246</v>
      </c>
      <c r="D74" s="49" t="s">
        <v>423</v>
      </c>
      <c r="E74" s="49" t="s">
        <v>248</v>
      </c>
      <c r="F74" s="49"/>
      <c r="G74" s="49" t="s">
        <v>35</v>
      </c>
      <c r="H74" s="50">
        <v>2500</v>
      </c>
      <c r="I74" s="55">
        <v>625</v>
      </c>
      <c r="J74" s="49" t="s">
        <v>36</v>
      </c>
      <c r="K74" s="49" t="s">
        <v>37</v>
      </c>
      <c r="P74" s="4"/>
    </row>
    <row r="75" spans="1:16" ht="15.75" customHeight="1">
      <c r="A75" s="92">
        <v>11</v>
      </c>
      <c r="B75" s="49" t="s">
        <v>755</v>
      </c>
      <c r="C75" s="49" t="s">
        <v>246</v>
      </c>
      <c r="D75" s="49" t="s">
        <v>423</v>
      </c>
      <c r="E75" s="49" t="s">
        <v>248</v>
      </c>
      <c r="F75" s="49"/>
      <c r="G75" s="49" t="s">
        <v>170</v>
      </c>
      <c r="H75" s="49">
        <v>100</v>
      </c>
      <c r="I75" s="55">
        <v>60</v>
      </c>
      <c r="J75" s="49" t="s">
        <v>36</v>
      </c>
      <c r="K75" s="49" t="s">
        <v>37</v>
      </c>
    </row>
    <row r="76" spans="1:16" ht="15.75" customHeight="1">
      <c r="A76" s="92">
        <v>11</v>
      </c>
      <c r="B76" s="49" t="s">
        <v>1270</v>
      </c>
      <c r="C76" s="49" t="s">
        <v>246</v>
      </c>
      <c r="D76" s="49" t="s">
        <v>1271</v>
      </c>
      <c r="E76" s="49" t="s">
        <v>248</v>
      </c>
      <c r="F76" s="49"/>
      <c r="G76" s="49" t="s">
        <v>35</v>
      </c>
      <c r="H76" s="50">
        <v>4500</v>
      </c>
      <c r="I76" s="55">
        <v>675</v>
      </c>
      <c r="J76" s="49" t="s">
        <v>36</v>
      </c>
      <c r="K76" s="49" t="s">
        <v>37</v>
      </c>
    </row>
    <row r="77" spans="1:16" ht="15.75" customHeight="1">
      <c r="A77" s="92">
        <v>11</v>
      </c>
      <c r="B77" s="49" t="s">
        <v>1272</v>
      </c>
      <c r="C77" s="49" t="s">
        <v>227</v>
      </c>
      <c r="D77" s="49" t="s">
        <v>32</v>
      </c>
      <c r="E77" s="49" t="s">
        <v>321</v>
      </c>
      <c r="F77" s="49"/>
      <c r="G77" s="49" t="s">
        <v>35</v>
      </c>
      <c r="H77" s="50">
        <v>1000</v>
      </c>
      <c r="I77" s="55">
        <v>250</v>
      </c>
      <c r="J77" s="49" t="s">
        <v>36</v>
      </c>
      <c r="K77" s="49" t="s">
        <v>37</v>
      </c>
    </row>
    <row r="78" spans="1:16" ht="15.75" customHeight="1">
      <c r="A78" s="92">
        <v>11</v>
      </c>
      <c r="B78" s="49" t="s">
        <v>1273</v>
      </c>
      <c r="C78" s="49" t="s">
        <v>227</v>
      </c>
      <c r="D78" s="49" t="s">
        <v>352</v>
      </c>
      <c r="E78" s="49" t="s">
        <v>307</v>
      </c>
      <c r="F78" s="49"/>
      <c r="G78" s="49" t="s">
        <v>35</v>
      </c>
      <c r="H78" s="49">
        <v>240</v>
      </c>
      <c r="I78" s="55">
        <v>60</v>
      </c>
      <c r="J78" s="49" t="s">
        <v>36</v>
      </c>
      <c r="K78" s="49" t="s">
        <v>37</v>
      </c>
    </row>
    <row r="79" spans="1:16" ht="15.75" customHeight="1">
      <c r="A79" s="92">
        <v>12</v>
      </c>
      <c r="B79" s="49" t="s">
        <v>1274</v>
      </c>
      <c r="C79" s="49" t="s">
        <v>227</v>
      </c>
      <c r="D79" s="49" t="s">
        <v>1275</v>
      </c>
      <c r="E79" s="49" t="s">
        <v>84</v>
      </c>
      <c r="F79" s="49"/>
      <c r="G79" s="49" t="s">
        <v>35</v>
      </c>
      <c r="H79" s="50">
        <v>1500</v>
      </c>
      <c r="I79" s="55"/>
      <c r="J79" s="49" t="s">
        <v>43</v>
      </c>
      <c r="K79" s="49" t="s">
        <v>37</v>
      </c>
    </row>
    <row r="80" spans="1:16" ht="15.75" customHeight="1">
      <c r="A80" s="92">
        <v>12</v>
      </c>
      <c r="B80" s="49" t="s">
        <v>461</v>
      </c>
      <c r="C80" s="49" t="s">
        <v>227</v>
      </c>
      <c r="D80" s="49" t="s">
        <v>1276</v>
      </c>
      <c r="E80" s="49" t="s">
        <v>462</v>
      </c>
      <c r="F80" s="49"/>
      <c r="G80" s="49" t="s">
        <v>35</v>
      </c>
      <c r="H80" s="50">
        <v>10000</v>
      </c>
      <c r="I80" s="55">
        <v>1500</v>
      </c>
      <c r="J80" s="49" t="s">
        <v>36</v>
      </c>
      <c r="K80" s="49" t="s">
        <v>37</v>
      </c>
      <c r="P80" s="4"/>
    </row>
    <row r="81" spans="1:16" ht="15.75" customHeight="1">
      <c r="A81" s="92">
        <v>13</v>
      </c>
      <c r="B81" s="49" t="s">
        <v>1277</v>
      </c>
      <c r="C81" s="49" t="s">
        <v>227</v>
      </c>
      <c r="D81" s="49" t="s">
        <v>1069</v>
      </c>
      <c r="E81" s="49" t="s">
        <v>251</v>
      </c>
      <c r="F81" s="49"/>
      <c r="G81" s="49" t="s">
        <v>35</v>
      </c>
      <c r="H81" s="49">
        <v>100</v>
      </c>
      <c r="I81" s="55">
        <v>25</v>
      </c>
      <c r="J81" s="49" t="s">
        <v>36</v>
      </c>
      <c r="K81" s="49" t="s">
        <v>37</v>
      </c>
    </row>
    <row r="82" spans="1:16" ht="15.75" customHeight="1">
      <c r="A82" s="92">
        <v>13</v>
      </c>
      <c r="B82" s="49" t="s">
        <v>1278</v>
      </c>
      <c r="C82" s="49" t="s">
        <v>227</v>
      </c>
      <c r="D82" s="49" t="s">
        <v>385</v>
      </c>
      <c r="E82" s="49" t="s">
        <v>232</v>
      </c>
      <c r="F82" s="49"/>
      <c r="G82" s="49" t="s">
        <v>35</v>
      </c>
      <c r="H82" s="49">
        <v>300</v>
      </c>
      <c r="I82" s="55">
        <v>75</v>
      </c>
      <c r="J82" s="49" t="s">
        <v>36</v>
      </c>
      <c r="K82" s="49" t="s">
        <v>37</v>
      </c>
    </row>
    <row r="83" spans="1:16" ht="15.75" customHeight="1">
      <c r="A83" s="92">
        <v>13</v>
      </c>
      <c r="B83" s="49" t="s">
        <v>1279</v>
      </c>
      <c r="C83" s="49" t="s">
        <v>227</v>
      </c>
      <c r="D83" s="49" t="s">
        <v>32</v>
      </c>
      <c r="E83" s="49" t="s">
        <v>199</v>
      </c>
      <c r="F83" s="49"/>
      <c r="G83" s="49" t="s">
        <v>120</v>
      </c>
      <c r="H83" s="49">
        <v>150</v>
      </c>
      <c r="I83" s="55">
        <v>750</v>
      </c>
      <c r="J83" s="49" t="s">
        <v>36</v>
      </c>
      <c r="K83" s="49" t="s">
        <v>37</v>
      </c>
    </row>
    <row r="84" spans="1:16" ht="15.75" customHeight="1">
      <c r="A84" s="92">
        <v>14</v>
      </c>
      <c r="B84" s="49" t="s">
        <v>1280</v>
      </c>
      <c r="C84" s="49" t="s">
        <v>227</v>
      </c>
      <c r="D84" s="49" t="s">
        <v>1281</v>
      </c>
      <c r="E84" s="49" t="s">
        <v>156</v>
      </c>
      <c r="F84" s="49"/>
      <c r="G84" s="49" t="s">
        <v>35</v>
      </c>
      <c r="H84" s="49">
        <v>500</v>
      </c>
      <c r="I84" s="55">
        <v>125</v>
      </c>
      <c r="J84" s="49" t="s">
        <v>36</v>
      </c>
      <c r="K84" s="49" t="s">
        <v>37</v>
      </c>
    </row>
    <row r="85" spans="1:16" ht="15.75" customHeight="1">
      <c r="A85" s="92">
        <v>14</v>
      </c>
      <c r="B85" s="49" t="s">
        <v>1282</v>
      </c>
      <c r="C85" s="49" t="s">
        <v>246</v>
      </c>
      <c r="D85" s="49" t="s">
        <v>556</v>
      </c>
      <c r="E85" s="49" t="s">
        <v>232</v>
      </c>
      <c r="F85" s="49"/>
      <c r="G85" s="49" t="s">
        <v>35</v>
      </c>
      <c r="H85" s="50">
        <v>1500</v>
      </c>
      <c r="I85" s="55">
        <v>225</v>
      </c>
      <c r="J85" s="49" t="s">
        <v>36</v>
      </c>
      <c r="K85" s="49" t="s">
        <v>37</v>
      </c>
    </row>
    <row r="86" spans="1:16" ht="15.75" customHeight="1">
      <c r="A86" s="92">
        <v>14</v>
      </c>
      <c r="B86" s="49" t="s">
        <v>1282</v>
      </c>
      <c r="C86" s="49" t="s">
        <v>246</v>
      </c>
      <c r="D86" s="49" t="s">
        <v>556</v>
      </c>
      <c r="E86" s="49" t="s">
        <v>232</v>
      </c>
      <c r="F86" s="49"/>
      <c r="G86" s="49" t="s">
        <v>170</v>
      </c>
      <c r="H86" s="49">
        <v>300</v>
      </c>
      <c r="I86" s="55">
        <v>180</v>
      </c>
      <c r="J86" s="49" t="s">
        <v>36</v>
      </c>
      <c r="K86" s="49" t="s">
        <v>37</v>
      </c>
    </row>
    <row r="87" spans="1:16" ht="15.75" customHeight="1">
      <c r="A87" s="92">
        <v>14</v>
      </c>
      <c r="B87" s="49" t="s">
        <v>1283</v>
      </c>
      <c r="C87" s="49" t="s">
        <v>227</v>
      </c>
      <c r="D87" s="49" t="s">
        <v>375</v>
      </c>
      <c r="E87" s="49" t="s">
        <v>235</v>
      </c>
      <c r="F87" s="49"/>
      <c r="G87" s="49" t="s">
        <v>242</v>
      </c>
      <c r="H87" s="49">
        <v>100</v>
      </c>
      <c r="I87" s="55">
        <v>300</v>
      </c>
      <c r="J87" s="49" t="s">
        <v>36</v>
      </c>
      <c r="K87" s="49" t="s">
        <v>37</v>
      </c>
    </row>
    <row r="88" spans="1:16" ht="15.75" customHeight="1">
      <c r="A88" s="92">
        <v>14</v>
      </c>
      <c r="B88" s="49" t="s">
        <v>1284</v>
      </c>
      <c r="C88" s="49" t="s">
        <v>246</v>
      </c>
      <c r="D88" s="49" t="s">
        <v>396</v>
      </c>
      <c r="E88" s="49" t="s">
        <v>307</v>
      </c>
      <c r="F88" s="49"/>
      <c r="G88" s="49" t="s">
        <v>35</v>
      </c>
      <c r="H88" s="49">
        <v>100</v>
      </c>
      <c r="I88" s="49"/>
      <c r="J88" s="49" t="s">
        <v>43</v>
      </c>
      <c r="K88" s="49" t="s">
        <v>37</v>
      </c>
    </row>
    <row r="89" spans="1:16" ht="15.75" customHeight="1">
      <c r="A89" s="92">
        <v>14</v>
      </c>
      <c r="B89" s="49" t="s">
        <v>1285</v>
      </c>
      <c r="C89" s="49" t="s">
        <v>227</v>
      </c>
      <c r="D89" s="49" t="s">
        <v>1190</v>
      </c>
      <c r="E89" s="49" t="s">
        <v>241</v>
      </c>
      <c r="F89" s="49"/>
      <c r="G89" s="49" t="s">
        <v>35</v>
      </c>
      <c r="H89" s="50">
        <v>5000</v>
      </c>
      <c r="I89" s="55">
        <v>750</v>
      </c>
      <c r="J89" s="49" t="s">
        <v>36</v>
      </c>
      <c r="K89" s="49" t="s">
        <v>37</v>
      </c>
    </row>
    <row r="90" spans="1:16" ht="15.75" customHeight="1">
      <c r="A90" s="92">
        <v>14</v>
      </c>
      <c r="B90" s="49" t="s">
        <v>1286</v>
      </c>
      <c r="C90" s="49" t="s">
        <v>227</v>
      </c>
      <c r="D90" s="49" t="s">
        <v>1190</v>
      </c>
      <c r="E90" s="49" t="s">
        <v>241</v>
      </c>
      <c r="F90" s="49"/>
      <c r="G90" s="49" t="s">
        <v>35</v>
      </c>
      <c r="H90" s="50">
        <v>5000</v>
      </c>
      <c r="I90" s="55">
        <v>750</v>
      </c>
      <c r="J90" s="49" t="s">
        <v>36</v>
      </c>
      <c r="K90" s="49" t="s">
        <v>37</v>
      </c>
    </row>
    <row r="91" spans="1:16" ht="15.75" customHeight="1">
      <c r="A91" s="92">
        <v>14</v>
      </c>
      <c r="B91" s="49" t="s">
        <v>1287</v>
      </c>
      <c r="C91" s="49" t="s">
        <v>227</v>
      </c>
      <c r="D91" s="49" t="s">
        <v>1288</v>
      </c>
      <c r="E91" s="49" t="s">
        <v>307</v>
      </c>
      <c r="F91" s="49"/>
      <c r="G91" s="49" t="s">
        <v>35</v>
      </c>
      <c r="H91" s="49">
        <v>100</v>
      </c>
      <c r="I91" s="55">
        <v>25</v>
      </c>
      <c r="J91" s="49" t="s">
        <v>36</v>
      </c>
      <c r="K91" s="49" t="s">
        <v>37</v>
      </c>
    </row>
    <row r="92" spans="1:16" ht="15.75" customHeight="1">
      <c r="A92" s="92">
        <v>14</v>
      </c>
      <c r="B92" s="49" t="s">
        <v>1287</v>
      </c>
      <c r="C92" s="49" t="s">
        <v>227</v>
      </c>
      <c r="D92" s="49" t="s">
        <v>1288</v>
      </c>
      <c r="E92" s="49" t="s">
        <v>307</v>
      </c>
      <c r="F92" s="49"/>
      <c r="G92" s="49" t="s">
        <v>242</v>
      </c>
      <c r="H92" s="49">
        <v>10</v>
      </c>
      <c r="I92" s="55">
        <v>30</v>
      </c>
      <c r="J92" s="49" t="s">
        <v>36</v>
      </c>
      <c r="K92" s="49" t="s">
        <v>37</v>
      </c>
    </row>
    <row r="93" spans="1:16" ht="15.75" customHeight="1">
      <c r="A93" s="92">
        <v>15</v>
      </c>
      <c r="B93" s="49" t="s">
        <v>1289</v>
      </c>
      <c r="C93" s="49" t="s">
        <v>227</v>
      </c>
      <c r="D93" s="49" t="s">
        <v>768</v>
      </c>
      <c r="E93" s="49" t="s">
        <v>251</v>
      </c>
      <c r="F93" s="49"/>
      <c r="G93" s="49" t="s">
        <v>35</v>
      </c>
      <c r="H93" s="49">
        <v>600</v>
      </c>
      <c r="I93" s="55">
        <v>90</v>
      </c>
      <c r="J93" s="49" t="s">
        <v>36</v>
      </c>
      <c r="K93" s="49" t="s">
        <v>37</v>
      </c>
    </row>
    <row r="94" spans="1:16" ht="15.75" customHeight="1">
      <c r="A94" s="92">
        <v>15</v>
      </c>
      <c r="B94" s="49" t="s">
        <v>1290</v>
      </c>
      <c r="C94" s="49" t="s">
        <v>227</v>
      </c>
      <c r="D94" s="49" t="s">
        <v>1291</v>
      </c>
      <c r="E94" s="49" t="s">
        <v>285</v>
      </c>
      <c r="F94" s="49"/>
      <c r="G94" s="49" t="s">
        <v>35</v>
      </c>
      <c r="H94" s="50">
        <v>7000</v>
      </c>
      <c r="I94" s="55">
        <v>1050</v>
      </c>
      <c r="J94" s="49" t="s">
        <v>36</v>
      </c>
      <c r="K94" s="49" t="s">
        <v>37</v>
      </c>
      <c r="P94" s="4"/>
    </row>
    <row r="95" spans="1:16" ht="15.75" customHeight="1">
      <c r="A95" s="92">
        <v>15</v>
      </c>
      <c r="B95" s="49" t="s">
        <v>1292</v>
      </c>
      <c r="C95" s="49" t="s">
        <v>227</v>
      </c>
      <c r="D95" s="49" t="s">
        <v>1293</v>
      </c>
      <c r="E95" s="49" t="s">
        <v>48</v>
      </c>
      <c r="F95" s="49"/>
      <c r="G95" s="49" t="s">
        <v>120</v>
      </c>
      <c r="H95" s="49">
        <v>63</v>
      </c>
      <c r="I95" s="55">
        <v>630</v>
      </c>
      <c r="J95" s="49" t="s">
        <v>36</v>
      </c>
      <c r="K95" s="49" t="s">
        <v>37</v>
      </c>
    </row>
    <row r="96" spans="1:16" ht="15.75" customHeight="1">
      <c r="A96" s="92">
        <v>15</v>
      </c>
      <c r="B96" s="49" t="s">
        <v>1294</v>
      </c>
      <c r="C96" s="49" t="s">
        <v>246</v>
      </c>
      <c r="D96" s="49" t="s">
        <v>330</v>
      </c>
      <c r="E96" s="49" t="s">
        <v>254</v>
      </c>
      <c r="F96" s="49"/>
      <c r="G96" s="49" t="s">
        <v>242</v>
      </c>
      <c r="H96" s="49">
        <v>50</v>
      </c>
      <c r="I96" s="55">
        <v>150</v>
      </c>
      <c r="J96" s="49" t="s">
        <v>36</v>
      </c>
      <c r="K96" s="49" t="s">
        <v>37</v>
      </c>
    </row>
    <row r="97" spans="1:11" ht="15.75" customHeight="1">
      <c r="A97" s="92">
        <v>15</v>
      </c>
      <c r="B97" s="49" t="s">
        <v>353</v>
      </c>
      <c r="C97" s="49" t="s">
        <v>227</v>
      </c>
      <c r="D97" s="49" t="s">
        <v>354</v>
      </c>
      <c r="E97" s="49" t="s">
        <v>251</v>
      </c>
      <c r="F97" s="49"/>
      <c r="G97" s="49" t="s">
        <v>242</v>
      </c>
      <c r="H97" s="49">
        <v>50</v>
      </c>
      <c r="I97" s="55">
        <v>150</v>
      </c>
      <c r="J97" s="49" t="s">
        <v>36</v>
      </c>
      <c r="K97" s="49" t="s">
        <v>37</v>
      </c>
    </row>
    <row r="98" spans="1:11" ht="15.75" customHeight="1">
      <c r="A98" s="92">
        <v>16</v>
      </c>
      <c r="B98" s="49" t="s">
        <v>1295</v>
      </c>
      <c r="C98" s="49" t="s">
        <v>227</v>
      </c>
      <c r="D98" s="49" t="s">
        <v>548</v>
      </c>
      <c r="E98" s="49" t="s">
        <v>232</v>
      </c>
      <c r="F98" s="49"/>
      <c r="G98" s="49" t="s">
        <v>35</v>
      </c>
      <c r="H98" s="50">
        <v>2000</v>
      </c>
      <c r="I98" s="55">
        <v>500</v>
      </c>
      <c r="J98" s="49" t="s">
        <v>36</v>
      </c>
      <c r="K98" s="49" t="s">
        <v>37</v>
      </c>
    </row>
    <row r="99" spans="1:11" ht="15.75" customHeight="1">
      <c r="A99" s="92">
        <v>16</v>
      </c>
      <c r="B99" s="49" t="s">
        <v>1296</v>
      </c>
      <c r="C99" s="49" t="s">
        <v>227</v>
      </c>
      <c r="D99" s="49" t="s">
        <v>907</v>
      </c>
      <c r="E99" s="49" t="s">
        <v>235</v>
      </c>
      <c r="F99" s="49"/>
      <c r="G99" s="49" t="s">
        <v>35</v>
      </c>
      <c r="H99" s="50">
        <v>1500</v>
      </c>
      <c r="I99" s="55">
        <v>375</v>
      </c>
      <c r="J99" s="49" t="s">
        <v>36</v>
      </c>
      <c r="K99" s="49" t="s">
        <v>37</v>
      </c>
    </row>
    <row r="100" spans="1:11" ht="15.75" customHeight="1">
      <c r="A100" s="92">
        <v>16</v>
      </c>
      <c r="B100" s="49" t="s">
        <v>1297</v>
      </c>
      <c r="C100" s="49" t="s">
        <v>227</v>
      </c>
      <c r="D100" s="49" t="s">
        <v>1271</v>
      </c>
      <c r="E100" s="49" t="s">
        <v>248</v>
      </c>
      <c r="F100" s="49"/>
      <c r="G100" s="49" t="s">
        <v>35</v>
      </c>
      <c r="H100" s="49">
        <v>260</v>
      </c>
      <c r="I100" s="55">
        <v>65</v>
      </c>
      <c r="J100" s="49" t="s">
        <v>36</v>
      </c>
      <c r="K100" s="49" t="s">
        <v>37</v>
      </c>
    </row>
    <row r="101" spans="1:11" ht="15.75" customHeight="1">
      <c r="A101" s="92">
        <v>16</v>
      </c>
      <c r="B101" s="49" t="s">
        <v>1298</v>
      </c>
      <c r="C101" s="49" t="s">
        <v>227</v>
      </c>
      <c r="D101" s="49" t="s">
        <v>295</v>
      </c>
      <c r="E101" s="49" t="s">
        <v>248</v>
      </c>
      <c r="F101" s="49"/>
      <c r="G101" s="49" t="s">
        <v>35</v>
      </c>
      <c r="H101" s="50">
        <v>1500</v>
      </c>
      <c r="I101" s="55">
        <v>375</v>
      </c>
      <c r="J101" s="49" t="s">
        <v>36</v>
      </c>
      <c r="K101" s="49" t="s">
        <v>37</v>
      </c>
    </row>
    <row r="102" spans="1:11" ht="15.75" customHeight="1">
      <c r="A102" s="92">
        <v>16</v>
      </c>
      <c r="B102" s="49" t="s">
        <v>1299</v>
      </c>
      <c r="C102" s="49" t="s">
        <v>227</v>
      </c>
      <c r="D102" s="49" t="s">
        <v>758</v>
      </c>
      <c r="E102" s="49" t="s">
        <v>254</v>
      </c>
      <c r="F102" s="49"/>
      <c r="G102" s="49" t="s">
        <v>35</v>
      </c>
      <c r="H102" s="49">
        <v>100</v>
      </c>
      <c r="I102" s="55">
        <v>25</v>
      </c>
      <c r="J102" s="49" t="s">
        <v>36</v>
      </c>
      <c r="K102" s="49" t="s">
        <v>37</v>
      </c>
    </row>
    <row r="103" spans="1:11" ht="15.75" customHeight="1">
      <c r="A103" s="92">
        <v>16</v>
      </c>
      <c r="B103" s="49" t="s">
        <v>1300</v>
      </c>
      <c r="C103" s="49" t="s">
        <v>227</v>
      </c>
      <c r="D103" s="49" t="s">
        <v>288</v>
      </c>
      <c r="E103" s="49" t="s">
        <v>184</v>
      </c>
      <c r="F103" s="49"/>
      <c r="G103" s="49" t="s">
        <v>35</v>
      </c>
      <c r="H103" s="50">
        <v>1500</v>
      </c>
      <c r="I103" s="55">
        <v>225</v>
      </c>
      <c r="J103" s="49" t="s">
        <v>36</v>
      </c>
      <c r="K103" s="49" t="s">
        <v>37</v>
      </c>
    </row>
    <row r="104" spans="1:11" ht="15.75" customHeight="1">
      <c r="A104" s="92">
        <v>16</v>
      </c>
      <c r="B104" s="49" t="s">
        <v>1301</v>
      </c>
      <c r="C104" s="49" t="s">
        <v>227</v>
      </c>
      <c r="D104" s="49" t="s">
        <v>32</v>
      </c>
      <c r="E104" s="49" t="s">
        <v>41</v>
      </c>
      <c r="F104" s="49"/>
      <c r="G104" s="49" t="s">
        <v>35</v>
      </c>
      <c r="H104" s="50">
        <v>7000</v>
      </c>
      <c r="I104" s="55">
        <v>1050</v>
      </c>
      <c r="J104" s="49" t="s">
        <v>36</v>
      </c>
      <c r="K104" s="49" t="s">
        <v>37</v>
      </c>
    </row>
    <row r="105" spans="1:11" ht="15.75" customHeight="1">
      <c r="A105" s="92">
        <v>16</v>
      </c>
      <c r="B105" s="49" t="s">
        <v>1301</v>
      </c>
      <c r="C105" s="49" t="s">
        <v>227</v>
      </c>
      <c r="D105" s="49" t="s">
        <v>32</v>
      </c>
      <c r="E105" s="49" t="s">
        <v>41</v>
      </c>
      <c r="F105" s="49"/>
      <c r="G105" s="49" t="s">
        <v>35</v>
      </c>
      <c r="H105" s="49">
        <v>500</v>
      </c>
      <c r="I105" s="55"/>
      <c r="J105" s="49" t="s">
        <v>43</v>
      </c>
      <c r="K105" s="49"/>
    </row>
    <row r="106" spans="1:11" ht="15.75" customHeight="1">
      <c r="A106" s="92">
        <v>16</v>
      </c>
      <c r="B106" s="49" t="s">
        <v>1302</v>
      </c>
      <c r="C106" s="49" t="s">
        <v>246</v>
      </c>
      <c r="D106" s="49" t="s">
        <v>32</v>
      </c>
      <c r="E106" s="49" t="s">
        <v>41</v>
      </c>
      <c r="F106" s="49"/>
      <c r="G106" s="49" t="s">
        <v>35</v>
      </c>
      <c r="H106" s="49">
        <v>500</v>
      </c>
      <c r="I106" s="49"/>
      <c r="J106" s="49" t="s">
        <v>43</v>
      </c>
      <c r="K106" s="49" t="s">
        <v>37</v>
      </c>
    </row>
    <row r="107" spans="1:11" ht="15.75" customHeight="1">
      <c r="A107" s="92">
        <v>16</v>
      </c>
      <c r="B107" s="49" t="s">
        <v>1303</v>
      </c>
      <c r="C107" s="49" t="s">
        <v>227</v>
      </c>
      <c r="D107" s="49" t="s">
        <v>32</v>
      </c>
      <c r="E107" s="49" t="s">
        <v>307</v>
      </c>
      <c r="F107" s="49"/>
      <c r="G107" s="49" t="s">
        <v>35</v>
      </c>
      <c r="H107" s="50">
        <v>4000</v>
      </c>
      <c r="I107" s="55">
        <v>600</v>
      </c>
      <c r="J107" s="49" t="s">
        <v>36</v>
      </c>
      <c r="K107" s="49" t="s">
        <v>37</v>
      </c>
    </row>
    <row r="108" spans="1:11" ht="15.75" customHeight="1">
      <c r="A108" s="92">
        <v>16</v>
      </c>
      <c r="B108" s="49" t="s">
        <v>1303</v>
      </c>
      <c r="C108" s="49" t="s">
        <v>227</v>
      </c>
      <c r="D108" s="49" t="s">
        <v>32</v>
      </c>
      <c r="E108" s="49" t="s">
        <v>307</v>
      </c>
      <c r="F108" s="49"/>
      <c r="G108" s="49" t="s">
        <v>120</v>
      </c>
      <c r="H108" s="49">
        <v>10</v>
      </c>
      <c r="I108" s="55">
        <v>100</v>
      </c>
      <c r="J108" s="49" t="s">
        <v>36</v>
      </c>
      <c r="K108" s="49" t="s">
        <v>37</v>
      </c>
    </row>
    <row r="109" spans="1:11" ht="15.75" customHeight="1">
      <c r="A109" s="92">
        <v>16</v>
      </c>
      <c r="B109" s="49" t="s">
        <v>1304</v>
      </c>
      <c r="C109" s="49" t="s">
        <v>227</v>
      </c>
      <c r="D109" s="49" t="s">
        <v>1305</v>
      </c>
      <c r="E109" s="49" t="s">
        <v>254</v>
      </c>
      <c r="F109" s="49"/>
      <c r="G109" s="49" t="s">
        <v>35</v>
      </c>
      <c r="H109" s="49">
        <v>50</v>
      </c>
      <c r="I109" s="55"/>
      <c r="J109" s="49" t="s">
        <v>43</v>
      </c>
      <c r="K109" s="49" t="s">
        <v>37</v>
      </c>
    </row>
    <row r="110" spans="1:11" ht="15.75" customHeight="1">
      <c r="A110" s="92">
        <v>16</v>
      </c>
      <c r="B110" s="49" t="s">
        <v>1306</v>
      </c>
      <c r="C110" s="49" t="s">
        <v>227</v>
      </c>
      <c r="D110" s="49" t="s">
        <v>907</v>
      </c>
      <c r="E110" s="49" t="s">
        <v>235</v>
      </c>
      <c r="F110" s="49"/>
      <c r="G110" s="49" t="s">
        <v>35</v>
      </c>
      <c r="H110" s="50">
        <v>3000</v>
      </c>
      <c r="I110" s="55">
        <v>450</v>
      </c>
      <c r="J110" s="49" t="s">
        <v>36</v>
      </c>
      <c r="K110" s="49" t="s">
        <v>37</v>
      </c>
    </row>
    <row r="111" spans="1:11" ht="15.75" customHeight="1">
      <c r="A111" s="92">
        <v>16</v>
      </c>
      <c r="B111" s="49" t="s">
        <v>1307</v>
      </c>
      <c r="C111" s="49" t="s">
        <v>227</v>
      </c>
      <c r="D111" s="49" t="s">
        <v>522</v>
      </c>
      <c r="E111" s="49" t="s">
        <v>307</v>
      </c>
      <c r="F111" s="49"/>
      <c r="G111" s="49" t="s">
        <v>35</v>
      </c>
      <c r="H111" s="49">
        <v>300</v>
      </c>
      <c r="I111" s="55">
        <v>75</v>
      </c>
      <c r="J111" s="49" t="s">
        <v>36</v>
      </c>
      <c r="K111" s="49" t="s">
        <v>37</v>
      </c>
    </row>
    <row r="112" spans="1:11" ht="15.75" customHeight="1">
      <c r="A112" s="92">
        <v>16</v>
      </c>
      <c r="B112" s="49" t="s">
        <v>1308</v>
      </c>
      <c r="C112" s="49" t="s">
        <v>227</v>
      </c>
      <c r="D112" s="49" t="s">
        <v>32</v>
      </c>
      <c r="E112" s="49" t="s">
        <v>164</v>
      </c>
      <c r="F112" s="49"/>
      <c r="G112" s="49" t="s">
        <v>35</v>
      </c>
      <c r="H112" s="49">
        <v>400</v>
      </c>
      <c r="I112" s="55">
        <v>100</v>
      </c>
      <c r="J112" s="49" t="s">
        <v>36</v>
      </c>
      <c r="K112" s="49" t="s">
        <v>37</v>
      </c>
    </row>
    <row r="113" spans="1:16" ht="15.75" customHeight="1">
      <c r="A113" s="92">
        <v>16</v>
      </c>
      <c r="B113" s="49" t="s">
        <v>1308</v>
      </c>
      <c r="C113" s="49" t="s">
        <v>227</v>
      </c>
      <c r="D113" s="49" t="s">
        <v>32</v>
      </c>
      <c r="E113" s="49" t="s">
        <v>164</v>
      </c>
      <c r="F113" s="49"/>
      <c r="G113" s="49" t="s">
        <v>120</v>
      </c>
      <c r="H113" s="49">
        <v>100</v>
      </c>
      <c r="I113" s="55">
        <v>1000</v>
      </c>
      <c r="J113" s="49" t="s">
        <v>36</v>
      </c>
      <c r="K113" s="49" t="s">
        <v>37</v>
      </c>
    </row>
    <row r="114" spans="1:16" ht="15.75" customHeight="1">
      <c r="A114" s="92">
        <v>16</v>
      </c>
      <c r="B114" s="49" t="s">
        <v>1309</v>
      </c>
      <c r="C114" s="49" t="s">
        <v>227</v>
      </c>
      <c r="D114" s="49" t="s">
        <v>1030</v>
      </c>
      <c r="E114" s="49" t="s">
        <v>307</v>
      </c>
      <c r="F114" s="49"/>
      <c r="G114" s="49" t="s">
        <v>35</v>
      </c>
      <c r="H114" s="50">
        <v>1000</v>
      </c>
      <c r="I114" s="55">
        <v>250</v>
      </c>
      <c r="J114" s="49" t="s">
        <v>36</v>
      </c>
      <c r="K114" s="49" t="s">
        <v>37</v>
      </c>
    </row>
    <row r="115" spans="1:16" ht="15.75" customHeight="1">
      <c r="A115" s="92">
        <v>18</v>
      </c>
      <c r="B115" s="49" t="s">
        <v>1310</v>
      </c>
      <c r="C115" s="49" t="s">
        <v>227</v>
      </c>
      <c r="D115" s="49" t="s">
        <v>743</v>
      </c>
      <c r="E115" s="49" t="s">
        <v>48</v>
      </c>
      <c r="F115" s="49"/>
      <c r="G115" s="49" t="s">
        <v>35</v>
      </c>
      <c r="H115" s="49">
        <v>100</v>
      </c>
      <c r="I115" s="55">
        <v>45</v>
      </c>
      <c r="J115" s="49" t="s">
        <v>36</v>
      </c>
      <c r="K115" s="49" t="s">
        <v>37</v>
      </c>
    </row>
    <row r="116" spans="1:16" ht="15.75" customHeight="1">
      <c r="A116" s="92">
        <v>18</v>
      </c>
      <c r="B116" s="49" t="s">
        <v>1311</v>
      </c>
      <c r="C116" s="49" t="s">
        <v>227</v>
      </c>
      <c r="D116" s="49" t="s">
        <v>564</v>
      </c>
      <c r="E116" s="49" t="s">
        <v>507</v>
      </c>
      <c r="F116" s="49"/>
      <c r="G116" s="49" t="s">
        <v>35</v>
      </c>
      <c r="H116" s="50">
        <v>1500</v>
      </c>
      <c r="I116" s="55">
        <v>225</v>
      </c>
      <c r="J116" s="49" t="s">
        <v>36</v>
      </c>
      <c r="K116" s="49" t="s">
        <v>37</v>
      </c>
    </row>
    <row r="117" spans="1:16" ht="15.75" customHeight="1">
      <c r="A117" s="92">
        <v>18</v>
      </c>
      <c r="B117" s="49" t="s">
        <v>1312</v>
      </c>
      <c r="C117" s="49" t="s">
        <v>246</v>
      </c>
      <c r="D117" s="49" t="s">
        <v>548</v>
      </c>
      <c r="E117" s="49" t="s">
        <v>232</v>
      </c>
      <c r="F117" s="49"/>
      <c r="G117" s="49" t="s">
        <v>35</v>
      </c>
      <c r="H117" s="50">
        <v>1000</v>
      </c>
      <c r="I117" s="55">
        <v>450</v>
      </c>
      <c r="J117" s="49" t="s">
        <v>36</v>
      </c>
      <c r="K117" s="49" t="s">
        <v>37</v>
      </c>
    </row>
    <row r="118" spans="1:16" ht="15.75" customHeight="1">
      <c r="A118" s="92">
        <v>18</v>
      </c>
      <c r="B118" s="49" t="s">
        <v>1313</v>
      </c>
      <c r="C118" s="49" t="s">
        <v>227</v>
      </c>
      <c r="D118" s="49" t="s">
        <v>32</v>
      </c>
      <c r="E118" s="49" t="s">
        <v>321</v>
      </c>
      <c r="F118" s="49"/>
      <c r="G118" s="49" t="s">
        <v>35</v>
      </c>
      <c r="H118" s="49">
        <v>800</v>
      </c>
      <c r="I118" s="55">
        <v>120</v>
      </c>
      <c r="J118" s="49" t="s">
        <v>36</v>
      </c>
      <c r="K118" s="49" t="s">
        <v>37</v>
      </c>
    </row>
    <row r="119" spans="1:16" ht="15.75" customHeight="1">
      <c r="A119" s="92">
        <v>18</v>
      </c>
      <c r="B119" s="49" t="s">
        <v>868</v>
      </c>
      <c r="C119" s="49" t="s">
        <v>227</v>
      </c>
      <c r="D119" s="49" t="s">
        <v>780</v>
      </c>
      <c r="E119" s="49" t="s">
        <v>80</v>
      </c>
      <c r="F119" s="49"/>
      <c r="G119" s="49" t="s">
        <v>35</v>
      </c>
      <c r="H119" s="50">
        <v>5000</v>
      </c>
      <c r="I119" s="55">
        <v>1250</v>
      </c>
      <c r="J119" s="49" t="s">
        <v>36</v>
      </c>
      <c r="K119" s="49" t="s">
        <v>37</v>
      </c>
      <c r="P119" s="4"/>
    </row>
    <row r="120" spans="1:16" ht="15.75" customHeight="1">
      <c r="A120" s="92">
        <v>18</v>
      </c>
      <c r="B120" s="49" t="s">
        <v>1314</v>
      </c>
      <c r="C120" s="49" t="s">
        <v>246</v>
      </c>
      <c r="D120" s="49" t="s">
        <v>607</v>
      </c>
      <c r="E120" s="49" t="s">
        <v>235</v>
      </c>
      <c r="F120" s="49"/>
      <c r="G120" s="49" t="s">
        <v>35</v>
      </c>
      <c r="H120" s="49">
        <v>100</v>
      </c>
      <c r="I120" s="55">
        <v>25</v>
      </c>
      <c r="J120" s="49" t="s">
        <v>36</v>
      </c>
      <c r="K120" s="49" t="s">
        <v>37</v>
      </c>
    </row>
    <row r="121" spans="1:16" ht="15.75" customHeight="1">
      <c r="A121" s="92">
        <v>18</v>
      </c>
      <c r="B121" s="49" t="s">
        <v>1315</v>
      </c>
      <c r="C121" s="49" t="s">
        <v>227</v>
      </c>
      <c r="D121" s="49" t="s">
        <v>315</v>
      </c>
      <c r="E121" s="49" t="s">
        <v>48</v>
      </c>
      <c r="F121" s="49"/>
      <c r="G121" s="49" t="s">
        <v>120</v>
      </c>
      <c r="H121" s="49">
        <v>15</v>
      </c>
      <c r="I121" s="55">
        <v>150</v>
      </c>
      <c r="J121" s="49" t="s">
        <v>36</v>
      </c>
      <c r="K121" s="49" t="s">
        <v>37</v>
      </c>
    </row>
    <row r="122" spans="1:16" ht="15.75" customHeight="1">
      <c r="A122" s="92">
        <v>18</v>
      </c>
      <c r="B122" s="49" t="s">
        <v>1316</v>
      </c>
      <c r="C122" s="49" t="s">
        <v>227</v>
      </c>
      <c r="D122" s="49" t="s">
        <v>607</v>
      </c>
      <c r="E122" s="49" t="s">
        <v>235</v>
      </c>
      <c r="F122" s="49"/>
      <c r="G122" s="49" t="s">
        <v>120</v>
      </c>
      <c r="H122" s="49">
        <v>5</v>
      </c>
      <c r="I122" s="55">
        <v>50</v>
      </c>
      <c r="J122" s="49" t="s">
        <v>36</v>
      </c>
      <c r="K122" s="49" t="s">
        <v>37</v>
      </c>
    </row>
    <row r="123" spans="1:16" ht="15.75" customHeight="1">
      <c r="A123" s="92">
        <v>18</v>
      </c>
      <c r="B123" s="49" t="s">
        <v>1317</v>
      </c>
      <c r="C123" s="49" t="s">
        <v>246</v>
      </c>
      <c r="D123" s="49" t="s">
        <v>554</v>
      </c>
      <c r="E123" s="49" t="s">
        <v>248</v>
      </c>
      <c r="F123" s="49"/>
      <c r="G123" s="49" t="s">
        <v>35</v>
      </c>
      <c r="H123" s="50">
        <v>1500</v>
      </c>
      <c r="I123" s="55">
        <v>225</v>
      </c>
      <c r="J123" s="49" t="s">
        <v>36</v>
      </c>
      <c r="K123" s="49" t="s">
        <v>37</v>
      </c>
    </row>
    <row r="124" spans="1:16" ht="15.75" customHeight="1">
      <c r="A124" s="92">
        <v>18</v>
      </c>
      <c r="B124" s="49" t="s">
        <v>1317</v>
      </c>
      <c r="C124" s="49" t="s">
        <v>246</v>
      </c>
      <c r="D124" s="49" t="s">
        <v>554</v>
      </c>
      <c r="E124" s="49" t="s">
        <v>248</v>
      </c>
      <c r="F124" s="49"/>
      <c r="G124" s="49" t="s">
        <v>35</v>
      </c>
      <c r="H124" s="49">
        <v>500</v>
      </c>
      <c r="I124" s="55"/>
      <c r="J124" s="49" t="s">
        <v>43</v>
      </c>
      <c r="K124" s="49" t="s">
        <v>37</v>
      </c>
    </row>
    <row r="125" spans="1:16" ht="15.75" customHeight="1">
      <c r="A125" s="92">
        <v>18</v>
      </c>
      <c r="B125" s="49" t="s">
        <v>1318</v>
      </c>
      <c r="C125" s="49" t="s">
        <v>227</v>
      </c>
      <c r="D125" s="49" t="s">
        <v>1319</v>
      </c>
      <c r="E125" s="49" t="s">
        <v>193</v>
      </c>
      <c r="F125" s="49"/>
      <c r="G125" s="49" t="s">
        <v>35</v>
      </c>
      <c r="H125" s="50">
        <v>10000</v>
      </c>
      <c r="I125" s="55">
        <v>1500</v>
      </c>
      <c r="J125" s="49" t="s">
        <v>36</v>
      </c>
      <c r="K125" s="49" t="s">
        <v>37</v>
      </c>
      <c r="P125" s="4"/>
    </row>
    <row r="126" spans="1:16" ht="15.75" customHeight="1">
      <c r="A126" s="92">
        <v>18</v>
      </c>
      <c r="B126" s="49" t="s">
        <v>1320</v>
      </c>
      <c r="C126" s="49" t="s">
        <v>227</v>
      </c>
      <c r="D126" s="49" t="s">
        <v>1112</v>
      </c>
      <c r="E126" s="49" t="s">
        <v>199</v>
      </c>
      <c r="F126" s="49"/>
      <c r="G126" s="49" t="s">
        <v>35</v>
      </c>
      <c r="H126" s="50">
        <v>18000</v>
      </c>
      <c r="I126" s="55">
        <v>2700</v>
      </c>
      <c r="J126" s="49" t="s">
        <v>36</v>
      </c>
      <c r="K126" s="49" t="s">
        <v>37</v>
      </c>
      <c r="P126" s="4"/>
    </row>
    <row r="127" spans="1:16" ht="15.75" customHeight="1">
      <c r="A127" s="92">
        <v>18</v>
      </c>
      <c r="B127" s="49" t="s">
        <v>818</v>
      </c>
      <c r="C127" s="49" t="s">
        <v>246</v>
      </c>
      <c r="D127" s="49" t="s">
        <v>554</v>
      </c>
      <c r="E127" s="49" t="s">
        <v>248</v>
      </c>
      <c r="F127" s="49"/>
      <c r="G127" s="49" t="s">
        <v>35</v>
      </c>
      <c r="H127" s="50">
        <v>7500</v>
      </c>
      <c r="I127" s="55">
        <v>1875</v>
      </c>
      <c r="J127" s="49" t="s">
        <v>36</v>
      </c>
      <c r="K127" s="49" t="s">
        <v>37</v>
      </c>
      <c r="P127" s="4"/>
    </row>
    <row r="128" spans="1:16" ht="15.75" customHeight="1">
      <c r="A128" s="92">
        <v>18</v>
      </c>
      <c r="B128" s="49" t="s">
        <v>818</v>
      </c>
      <c r="C128" s="49" t="s">
        <v>246</v>
      </c>
      <c r="D128" s="49" t="s">
        <v>554</v>
      </c>
      <c r="E128" s="49" t="s">
        <v>248</v>
      </c>
      <c r="F128" s="49"/>
      <c r="G128" s="49" t="s">
        <v>120</v>
      </c>
      <c r="H128" s="49">
        <v>35</v>
      </c>
      <c r="I128" s="55">
        <v>350</v>
      </c>
      <c r="J128" s="49" t="s">
        <v>36</v>
      </c>
      <c r="K128" s="49" t="s">
        <v>37</v>
      </c>
    </row>
    <row r="129" spans="1:16" ht="15.75" customHeight="1">
      <c r="A129" s="92">
        <v>18</v>
      </c>
      <c r="B129" s="49" t="s">
        <v>1321</v>
      </c>
      <c r="C129" s="49" t="s">
        <v>246</v>
      </c>
      <c r="D129" s="49" t="s">
        <v>375</v>
      </c>
      <c r="E129" s="49" t="s">
        <v>235</v>
      </c>
      <c r="F129" s="49"/>
      <c r="G129" s="49" t="s">
        <v>120</v>
      </c>
      <c r="H129" s="49">
        <v>15</v>
      </c>
      <c r="I129" s="55">
        <v>150</v>
      </c>
      <c r="J129" s="49" t="s">
        <v>36</v>
      </c>
      <c r="K129" s="49" t="s">
        <v>37</v>
      </c>
    </row>
    <row r="130" spans="1:16" ht="15.75" customHeight="1">
      <c r="A130" s="92">
        <v>18</v>
      </c>
      <c r="B130" s="49" t="s">
        <v>1322</v>
      </c>
      <c r="C130" s="49" t="s">
        <v>227</v>
      </c>
      <c r="D130" s="49" t="s">
        <v>385</v>
      </c>
      <c r="E130" s="49" t="s">
        <v>232</v>
      </c>
      <c r="F130" s="49"/>
      <c r="G130" s="49" t="s">
        <v>35</v>
      </c>
      <c r="H130" s="50">
        <v>3000</v>
      </c>
      <c r="I130" s="55">
        <v>450</v>
      </c>
      <c r="J130" s="49" t="s">
        <v>36</v>
      </c>
      <c r="K130" s="49" t="s">
        <v>37</v>
      </c>
      <c r="P130" s="4"/>
    </row>
    <row r="131" spans="1:16" ht="15.75" customHeight="1">
      <c r="A131" s="92">
        <v>18</v>
      </c>
      <c r="B131" s="49" t="s">
        <v>1323</v>
      </c>
      <c r="C131" s="49" t="s">
        <v>227</v>
      </c>
      <c r="D131" s="49" t="s">
        <v>385</v>
      </c>
      <c r="E131" s="49" t="s">
        <v>232</v>
      </c>
      <c r="F131" s="49"/>
      <c r="G131" s="49" t="s">
        <v>35</v>
      </c>
      <c r="H131" s="50">
        <v>3000</v>
      </c>
      <c r="I131" s="55">
        <v>450</v>
      </c>
      <c r="J131" s="49" t="s">
        <v>36</v>
      </c>
      <c r="K131" s="49" t="s">
        <v>37</v>
      </c>
      <c r="P131" s="4"/>
    </row>
    <row r="132" spans="1:16" ht="15.75" customHeight="1">
      <c r="A132" s="92">
        <v>18</v>
      </c>
      <c r="B132" s="49" t="s">
        <v>1324</v>
      </c>
      <c r="C132" s="49" t="s">
        <v>227</v>
      </c>
      <c r="D132" s="49" t="s">
        <v>385</v>
      </c>
      <c r="E132" s="49" t="s">
        <v>232</v>
      </c>
      <c r="F132" s="49"/>
      <c r="G132" s="49" t="s">
        <v>35</v>
      </c>
      <c r="H132" s="50">
        <v>4000</v>
      </c>
      <c r="I132" s="55">
        <v>600</v>
      </c>
      <c r="J132" s="49" t="s">
        <v>36</v>
      </c>
      <c r="K132" s="49" t="s">
        <v>37</v>
      </c>
      <c r="P132" s="4"/>
    </row>
    <row r="133" spans="1:16" ht="15.75" customHeight="1">
      <c r="A133" s="92">
        <v>19</v>
      </c>
      <c r="B133" s="49" t="s">
        <v>1325</v>
      </c>
      <c r="C133" s="49" t="s">
        <v>227</v>
      </c>
      <c r="D133" s="49" t="s">
        <v>554</v>
      </c>
      <c r="E133" s="49" t="s">
        <v>248</v>
      </c>
      <c r="F133" s="49"/>
      <c r="G133" s="49" t="s">
        <v>35</v>
      </c>
      <c r="H133" s="50">
        <v>1500</v>
      </c>
      <c r="I133" s="55">
        <v>225</v>
      </c>
      <c r="J133" s="49" t="s">
        <v>36</v>
      </c>
      <c r="K133" s="49" t="s">
        <v>37</v>
      </c>
      <c r="P133" s="4"/>
    </row>
    <row r="134" spans="1:16" ht="15.75" customHeight="1">
      <c r="A134" s="92">
        <v>19</v>
      </c>
      <c r="B134" s="49" t="s">
        <v>1325</v>
      </c>
      <c r="C134" s="49" t="s">
        <v>227</v>
      </c>
      <c r="D134" s="49" t="s">
        <v>554</v>
      </c>
      <c r="E134" s="49" t="s">
        <v>248</v>
      </c>
      <c r="F134" s="49"/>
      <c r="G134" s="49" t="s">
        <v>35</v>
      </c>
      <c r="H134" s="49">
        <v>500</v>
      </c>
      <c r="I134" s="55"/>
      <c r="J134" s="49" t="s">
        <v>43</v>
      </c>
      <c r="K134" s="49" t="s">
        <v>37</v>
      </c>
    </row>
    <row r="135" spans="1:16" ht="15.75" customHeight="1">
      <c r="A135" s="92">
        <v>19</v>
      </c>
      <c r="B135" s="49" t="s">
        <v>1326</v>
      </c>
      <c r="C135" s="49" t="s">
        <v>246</v>
      </c>
      <c r="D135" s="49" t="s">
        <v>554</v>
      </c>
      <c r="E135" s="49" t="s">
        <v>248</v>
      </c>
      <c r="F135" s="49"/>
      <c r="G135" s="49" t="s">
        <v>35</v>
      </c>
      <c r="H135" s="50">
        <v>2000</v>
      </c>
      <c r="I135" s="55">
        <v>300</v>
      </c>
      <c r="J135" s="49" t="s">
        <v>36</v>
      </c>
      <c r="K135" s="49" t="s">
        <v>37</v>
      </c>
      <c r="P135" s="4"/>
    </row>
    <row r="136" spans="1:16" ht="15.75" customHeight="1">
      <c r="A136" s="92">
        <v>19</v>
      </c>
      <c r="B136" s="49" t="s">
        <v>1327</v>
      </c>
      <c r="C136" s="49" t="s">
        <v>227</v>
      </c>
      <c r="D136" s="49" t="s">
        <v>1328</v>
      </c>
      <c r="E136" s="49" t="s">
        <v>184</v>
      </c>
      <c r="F136" s="49"/>
      <c r="G136" s="49" t="s">
        <v>35</v>
      </c>
      <c r="H136" s="50">
        <v>1000</v>
      </c>
      <c r="I136" s="55">
        <v>150</v>
      </c>
      <c r="J136" s="49" t="s">
        <v>36</v>
      </c>
      <c r="K136" s="49" t="s">
        <v>37</v>
      </c>
      <c r="P136" s="4"/>
    </row>
    <row r="137" spans="1:16" ht="15.75" customHeight="1">
      <c r="A137" s="92">
        <v>19</v>
      </c>
      <c r="B137" s="49" t="s">
        <v>1329</v>
      </c>
      <c r="C137" s="49" t="s">
        <v>227</v>
      </c>
      <c r="D137" s="49" t="s">
        <v>290</v>
      </c>
      <c r="E137" s="49" t="s">
        <v>232</v>
      </c>
      <c r="F137" s="49"/>
      <c r="G137" s="49" t="s">
        <v>35</v>
      </c>
      <c r="H137" s="50">
        <v>1300</v>
      </c>
      <c r="I137" s="55">
        <v>195</v>
      </c>
      <c r="J137" s="49" t="s">
        <v>36</v>
      </c>
      <c r="K137" s="49" t="s">
        <v>37</v>
      </c>
      <c r="P137" s="4"/>
    </row>
    <row r="138" spans="1:16" ht="15.75" customHeight="1">
      <c r="A138" s="92">
        <v>19</v>
      </c>
      <c r="B138" s="49" t="s">
        <v>1330</v>
      </c>
      <c r="C138" s="49" t="s">
        <v>227</v>
      </c>
      <c r="D138" s="49" t="s">
        <v>234</v>
      </c>
      <c r="E138" s="49" t="s">
        <v>235</v>
      </c>
      <c r="F138" s="49"/>
      <c r="G138" s="49" t="s">
        <v>35</v>
      </c>
      <c r="H138" s="50">
        <v>1500</v>
      </c>
      <c r="I138" s="55">
        <v>225</v>
      </c>
      <c r="J138" s="49" t="s">
        <v>36</v>
      </c>
      <c r="K138" s="49" t="s">
        <v>37</v>
      </c>
      <c r="P138" s="4"/>
    </row>
    <row r="139" spans="1:16" ht="15.75" customHeight="1">
      <c r="A139" s="92">
        <v>19</v>
      </c>
      <c r="B139" s="49" t="s">
        <v>1331</v>
      </c>
      <c r="C139" s="49" t="s">
        <v>246</v>
      </c>
      <c r="D139" s="49" t="s">
        <v>234</v>
      </c>
      <c r="E139" s="49" t="s">
        <v>235</v>
      </c>
      <c r="F139" s="49"/>
      <c r="G139" s="49" t="s">
        <v>35</v>
      </c>
      <c r="H139" s="50">
        <v>1500</v>
      </c>
      <c r="I139" s="55">
        <v>225</v>
      </c>
      <c r="J139" s="49" t="s">
        <v>36</v>
      </c>
      <c r="K139" s="49" t="s">
        <v>37</v>
      </c>
      <c r="P139" s="4"/>
    </row>
    <row r="140" spans="1:16" ht="15.75" customHeight="1">
      <c r="A140" s="92">
        <v>19</v>
      </c>
      <c r="B140" s="49" t="s">
        <v>1332</v>
      </c>
      <c r="C140" s="49" t="s">
        <v>227</v>
      </c>
      <c r="D140" s="49" t="s">
        <v>554</v>
      </c>
      <c r="E140" s="49" t="s">
        <v>48</v>
      </c>
      <c r="F140" s="49"/>
      <c r="G140" s="49" t="s">
        <v>35</v>
      </c>
      <c r="H140" s="49">
        <v>500</v>
      </c>
      <c r="I140" s="55">
        <v>75</v>
      </c>
      <c r="J140" s="49" t="s">
        <v>36</v>
      </c>
      <c r="K140" s="49" t="s">
        <v>37</v>
      </c>
      <c r="P140" s="4"/>
    </row>
    <row r="141" spans="1:16" ht="15.75" customHeight="1">
      <c r="A141" s="92">
        <v>19</v>
      </c>
      <c r="B141" s="49" t="s">
        <v>1333</v>
      </c>
      <c r="C141" s="49" t="s">
        <v>227</v>
      </c>
      <c r="D141" s="49" t="s">
        <v>758</v>
      </c>
      <c r="E141" s="49" t="s">
        <v>51</v>
      </c>
      <c r="F141" s="49"/>
      <c r="G141" s="49" t="s">
        <v>35</v>
      </c>
      <c r="H141" s="50">
        <v>1000</v>
      </c>
      <c r="I141" s="55">
        <v>150</v>
      </c>
      <c r="J141" s="49" t="s">
        <v>36</v>
      </c>
      <c r="K141" s="49" t="s">
        <v>37</v>
      </c>
      <c r="P141" s="4"/>
    </row>
    <row r="142" spans="1:16" ht="15.75" customHeight="1">
      <c r="A142" s="92">
        <v>20</v>
      </c>
      <c r="B142" s="49" t="s">
        <v>1334</v>
      </c>
      <c r="C142" s="49" t="s">
        <v>227</v>
      </c>
      <c r="D142" s="49"/>
      <c r="E142" s="49" t="s">
        <v>1335</v>
      </c>
      <c r="F142" s="49"/>
      <c r="G142" s="49" t="s">
        <v>35</v>
      </c>
      <c r="H142" s="50">
        <v>2000</v>
      </c>
      <c r="I142" s="55"/>
      <c r="J142" s="49" t="s">
        <v>43</v>
      </c>
      <c r="K142" s="49" t="s">
        <v>37</v>
      </c>
      <c r="P142" s="4"/>
    </row>
    <row r="143" spans="1:16" ht="15.75" customHeight="1">
      <c r="A143" s="92">
        <v>20</v>
      </c>
      <c r="B143" s="49" t="s">
        <v>1336</v>
      </c>
      <c r="C143" s="49" t="s">
        <v>246</v>
      </c>
      <c r="D143" s="49"/>
      <c r="E143" s="49" t="s">
        <v>1335</v>
      </c>
      <c r="F143" s="49"/>
      <c r="G143" s="49" t="s">
        <v>35</v>
      </c>
      <c r="H143" s="50">
        <v>3000</v>
      </c>
      <c r="I143" s="55"/>
      <c r="J143" s="49" t="s">
        <v>43</v>
      </c>
      <c r="K143" s="49" t="s">
        <v>37</v>
      </c>
      <c r="P143" s="4"/>
    </row>
    <row r="144" spans="1:16" ht="15.75" customHeight="1">
      <c r="A144" s="92">
        <v>20</v>
      </c>
      <c r="B144" s="49" t="s">
        <v>1337</v>
      </c>
      <c r="C144" s="49" t="s">
        <v>227</v>
      </c>
      <c r="D144" s="49" t="s">
        <v>1338</v>
      </c>
      <c r="E144" s="49" t="s">
        <v>51</v>
      </c>
      <c r="F144" s="49"/>
      <c r="G144" s="49" t="s">
        <v>35</v>
      </c>
      <c r="H144" s="49">
        <v>200</v>
      </c>
      <c r="I144" s="55">
        <v>30</v>
      </c>
      <c r="J144" s="49" t="s">
        <v>36</v>
      </c>
      <c r="K144" s="49" t="s">
        <v>37</v>
      </c>
      <c r="P144" s="4"/>
    </row>
    <row r="145" spans="1:18" ht="15.75" customHeight="1">
      <c r="A145" s="92">
        <v>20</v>
      </c>
      <c r="B145" s="49" t="s">
        <v>1339</v>
      </c>
      <c r="C145" s="49" t="s">
        <v>227</v>
      </c>
      <c r="D145" s="49" t="s">
        <v>1340</v>
      </c>
      <c r="E145" s="49" t="s">
        <v>51</v>
      </c>
      <c r="F145" s="49"/>
      <c r="G145" s="49" t="s">
        <v>35</v>
      </c>
      <c r="H145" s="50">
        <v>1500</v>
      </c>
      <c r="I145" s="55">
        <v>225</v>
      </c>
      <c r="J145" s="49" t="s">
        <v>36</v>
      </c>
      <c r="K145" s="49" t="s">
        <v>37</v>
      </c>
      <c r="P145" s="4"/>
    </row>
    <row r="146" spans="1:18" ht="15.75" customHeight="1">
      <c r="A146" s="92">
        <v>20</v>
      </c>
      <c r="B146" s="49" t="s">
        <v>1339</v>
      </c>
      <c r="C146" s="49" t="s">
        <v>227</v>
      </c>
      <c r="D146" s="49" t="s">
        <v>1340</v>
      </c>
      <c r="E146" s="49" t="s">
        <v>51</v>
      </c>
      <c r="F146" s="49"/>
      <c r="G146" s="49" t="s">
        <v>120</v>
      </c>
      <c r="H146" s="49">
        <v>10</v>
      </c>
      <c r="I146" s="55">
        <v>100</v>
      </c>
      <c r="J146" s="49" t="s">
        <v>36</v>
      </c>
      <c r="K146" s="49" t="s">
        <v>37</v>
      </c>
    </row>
    <row r="147" spans="1:18" ht="15.75" customHeight="1">
      <c r="A147" s="92">
        <v>20</v>
      </c>
      <c r="B147" s="49" t="s">
        <v>1341</v>
      </c>
      <c r="C147" s="49" t="s">
        <v>227</v>
      </c>
      <c r="D147" s="49" t="s">
        <v>1340</v>
      </c>
      <c r="E147" s="49" t="s">
        <v>51</v>
      </c>
      <c r="F147" s="49"/>
      <c r="G147" s="49" t="s">
        <v>35</v>
      </c>
      <c r="H147" s="50">
        <v>1000</v>
      </c>
      <c r="I147" s="55">
        <v>150</v>
      </c>
      <c r="J147" s="49" t="s">
        <v>36</v>
      </c>
      <c r="K147" s="49" t="s">
        <v>37</v>
      </c>
      <c r="P147" s="4"/>
    </row>
    <row r="148" spans="1:18" ht="15.75" customHeight="1">
      <c r="A148" s="92">
        <v>20</v>
      </c>
      <c r="B148" s="49" t="s">
        <v>1320</v>
      </c>
      <c r="C148" s="49" t="s">
        <v>227</v>
      </c>
      <c r="D148" s="49" t="s">
        <v>1112</v>
      </c>
      <c r="E148" s="49" t="s">
        <v>199</v>
      </c>
      <c r="F148" s="49"/>
      <c r="G148" s="49" t="s">
        <v>35</v>
      </c>
      <c r="H148" s="50">
        <v>30000</v>
      </c>
      <c r="I148" s="55">
        <v>4500</v>
      </c>
      <c r="J148" s="49" t="s">
        <v>36</v>
      </c>
      <c r="K148" s="49" t="s">
        <v>37</v>
      </c>
      <c r="P148" s="4"/>
    </row>
    <row r="149" spans="1:18" ht="15.75" customHeight="1">
      <c r="A149" s="92">
        <v>20</v>
      </c>
      <c r="B149" s="49" t="s">
        <v>1295</v>
      </c>
      <c r="C149" s="49" t="s">
        <v>227</v>
      </c>
      <c r="D149" s="49" t="s">
        <v>548</v>
      </c>
      <c r="E149" s="49" t="s">
        <v>232</v>
      </c>
      <c r="F149" s="49"/>
      <c r="G149" s="49" t="s">
        <v>35</v>
      </c>
      <c r="H149" s="50">
        <v>1500</v>
      </c>
      <c r="I149" s="55">
        <v>225</v>
      </c>
      <c r="J149" s="49" t="s">
        <v>36</v>
      </c>
      <c r="K149" s="49" t="s">
        <v>37</v>
      </c>
      <c r="P149" s="4"/>
    </row>
    <row r="150" spans="1:18" ht="15.75" customHeight="1">
      <c r="A150" s="92">
        <v>20</v>
      </c>
      <c r="B150" s="49" t="s">
        <v>1295</v>
      </c>
      <c r="C150" s="49" t="s">
        <v>227</v>
      </c>
      <c r="D150" s="49" t="s">
        <v>548</v>
      </c>
      <c r="E150" s="49" t="s">
        <v>232</v>
      </c>
      <c r="F150" s="49"/>
      <c r="G150" s="49" t="s">
        <v>120</v>
      </c>
      <c r="H150" s="49">
        <v>10</v>
      </c>
      <c r="I150" s="55">
        <v>100</v>
      </c>
      <c r="J150" s="49" t="s">
        <v>36</v>
      </c>
      <c r="K150" s="49" t="s">
        <v>37</v>
      </c>
    </row>
    <row r="151" spans="1:18" ht="15.75" customHeight="1">
      <c r="A151" s="92">
        <v>20</v>
      </c>
      <c r="B151" s="49" t="s">
        <v>1297</v>
      </c>
      <c r="C151" s="49" t="s">
        <v>227</v>
      </c>
      <c r="D151" s="49" t="s">
        <v>1271</v>
      </c>
      <c r="E151" s="49" t="s">
        <v>248</v>
      </c>
      <c r="F151" s="49"/>
      <c r="G151" s="49" t="s">
        <v>35</v>
      </c>
      <c r="H151" s="49">
        <v>700</v>
      </c>
      <c r="I151" s="55">
        <v>175</v>
      </c>
      <c r="J151" s="49" t="s">
        <v>36</v>
      </c>
      <c r="K151" s="49" t="s">
        <v>37</v>
      </c>
      <c r="P151" s="4"/>
    </row>
    <row r="152" spans="1:18" ht="15.75" customHeight="1">
      <c r="A152" s="92">
        <v>20</v>
      </c>
      <c r="B152" s="49" t="s">
        <v>1342</v>
      </c>
      <c r="C152" s="49" t="s">
        <v>227</v>
      </c>
      <c r="D152" s="49" t="s">
        <v>239</v>
      </c>
      <c r="E152" s="49" t="s">
        <v>51</v>
      </c>
      <c r="F152" s="49"/>
      <c r="G152" s="49" t="s">
        <v>35</v>
      </c>
      <c r="H152" s="50">
        <v>2000</v>
      </c>
      <c r="I152" s="49">
        <v>300</v>
      </c>
      <c r="J152" s="49" t="s">
        <v>36</v>
      </c>
      <c r="K152" s="49" t="s">
        <v>37</v>
      </c>
      <c r="P152" s="4"/>
    </row>
    <row r="153" spans="1:18" ht="15.75" customHeight="1">
      <c r="A153" s="92">
        <v>20</v>
      </c>
      <c r="B153" s="49" t="s">
        <v>1343</v>
      </c>
      <c r="C153" s="49" t="s">
        <v>227</v>
      </c>
      <c r="D153" s="49" t="s">
        <v>751</v>
      </c>
      <c r="E153" s="49" t="s">
        <v>193</v>
      </c>
      <c r="F153" s="49"/>
      <c r="G153" s="49" t="s">
        <v>35</v>
      </c>
      <c r="H153" s="50">
        <v>20000</v>
      </c>
      <c r="I153" s="50">
        <v>3000</v>
      </c>
      <c r="J153" s="49" t="s">
        <v>36</v>
      </c>
      <c r="K153" s="49" t="s">
        <v>37</v>
      </c>
      <c r="P153" s="4"/>
      <c r="R153" s="4"/>
    </row>
    <row r="154" spans="1:18" ht="15.75" customHeight="1">
      <c r="A154" s="92">
        <v>20</v>
      </c>
      <c r="B154" s="49" t="s">
        <v>1343</v>
      </c>
      <c r="C154" s="49" t="s">
        <v>227</v>
      </c>
      <c r="D154" s="49" t="s">
        <v>751</v>
      </c>
      <c r="E154" s="49" t="s">
        <v>193</v>
      </c>
      <c r="F154" s="49"/>
      <c r="G154" s="49" t="s">
        <v>120</v>
      </c>
      <c r="H154" s="49">
        <v>40</v>
      </c>
      <c r="I154" s="49">
        <v>400</v>
      </c>
      <c r="J154" s="49" t="s">
        <v>36</v>
      </c>
      <c r="K154" s="49" t="s">
        <v>37</v>
      </c>
    </row>
    <row r="155" spans="1:18" ht="15.75" customHeight="1">
      <c r="A155" s="92">
        <v>20</v>
      </c>
      <c r="B155" s="49" t="s">
        <v>1344</v>
      </c>
      <c r="C155" s="49" t="s">
        <v>227</v>
      </c>
      <c r="D155" s="49" t="s">
        <v>358</v>
      </c>
      <c r="E155" s="49" t="s">
        <v>235</v>
      </c>
      <c r="F155" s="49"/>
      <c r="G155" s="49" t="s">
        <v>35</v>
      </c>
      <c r="H155" s="49">
        <v>300</v>
      </c>
      <c r="I155" s="49">
        <v>45</v>
      </c>
      <c r="J155" s="49" t="s">
        <v>36</v>
      </c>
      <c r="K155" s="49" t="s">
        <v>37</v>
      </c>
    </row>
    <row r="156" spans="1:18" ht="15.75" customHeight="1">
      <c r="A156" s="92">
        <v>20</v>
      </c>
      <c r="B156" s="49" t="s">
        <v>1345</v>
      </c>
      <c r="C156" s="49" t="s">
        <v>227</v>
      </c>
      <c r="D156" s="49" t="s">
        <v>936</v>
      </c>
      <c r="E156" s="49" t="s">
        <v>655</v>
      </c>
      <c r="F156" s="49"/>
      <c r="G156" s="49" t="s">
        <v>120</v>
      </c>
      <c r="H156" s="49">
        <v>30</v>
      </c>
      <c r="I156" s="49">
        <v>300</v>
      </c>
      <c r="J156" s="49" t="s">
        <v>36</v>
      </c>
      <c r="K156" s="49" t="s">
        <v>37</v>
      </c>
    </row>
    <row r="157" spans="1:18" ht="15.75" customHeight="1">
      <c r="A157" s="92">
        <v>20</v>
      </c>
      <c r="B157" s="49" t="s">
        <v>1346</v>
      </c>
      <c r="C157" s="49" t="s">
        <v>227</v>
      </c>
      <c r="D157" s="49" t="s">
        <v>33</v>
      </c>
      <c r="E157" s="49" t="s">
        <v>199</v>
      </c>
      <c r="F157" s="49"/>
      <c r="G157" s="49" t="s">
        <v>120</v>
      </c>
      <c r="H157" s="49">
        <v>30</v>
      </c>
      <c r="I157" s="49">
        <v>300</v>
      </c>
      <c r="J157" s="49" t="s">
        <v>36</v>
      </c>
      <c r="K157" s="49" t="s">
        <v>37</v>
      </c>
    </row>
    <row r="158" spans="1:18" ht="15.75" customHeight="1">
      <c r="A158" s="49">
        <v>20</v>
      </c>
      <c r="B158" s="49" t="s">
        <v>1347</v>
      </c>
      <c r="C158" s="49" t="s">
        <v>227</v>
      </c>
      <c r="D158" s="49" t="s">
        <v>33</v>
      </c>
      <c r="E158" s="49" t="s">
        <v>307</v>
      </c>
      <c r="F158" s="49"/>
      <c r="G158" s="49" t="s">
        <v>120</v>
      </c>
      <c r="H158" s="50">
        <v>5</v>
      </c>
      <c r="I158" s="55">
        <v>50</v>
      </c>
      <c r="J158" s="49" t="s">
        <v>36</v>
      </c>
      <c r="K158" s="49" t="s">
        <v>37</v>
      </c>
    </row>
    <row r="159" spans="1:18" ht="15.75" customHeight="1">
      <c r="A159" s="49">
        <v>20</v>
      </c>
      <c r="B159" s="49" t="s">
        <v>1348</v>
      </c>
      <c r="C159" s="49" t="s">
        <v>227</v>
      </c>
      <c r="D159" s="49"/>
      <c r="E159" s="49" t="s">
        <v>75</v>
      </c>
      <c r="F159" s="49"/>
      <c r="G159" s="49" t="s">
        <v>120</v>
      </c>
      <c r="H159" s="50">
        <v>100</v>
      </c>
      <c r="I159" s="55">
        <v>1000</v>
      </c>
      <c r="J159" s="49" t="s">
        <v>36</v>
      </c>
      <c r="K159" s="49" t="s">
        <v>37</v>
      </c>
    </row>
    <row r="160" spans="1:18" ht="15.75" customHeight="1">
      <c r="A160" s="49">
        <v>20</v>
      </c>
      <c r="B160" s="49" t="s">
        <v>1349</v>
      </c>
      <c r="C160" s="49" t="s">
        <v>227</v>
      </c>
      <c r="D160" s="49" t="s">
        <v>32</v>
      </c>
      <c r="E160" s="49" t="s">
        <v>193</v>
      </c>
      <c r="F160" s="49"/>
      <c r="G160" s="49" t="s">
        <v>35</v>
      </c>
      <c r="H160" s="50">
        <v>10000</v>
      </c>
      <c r="I160" s="55">
        <v>1500</v>
      </c>
      <c r="J160" s="49" t="s">
        <v>36</v>
      </c>
      <c r="K160" s="49" t="s">
        <v>37</v>
      </c>
      <c r="P160" s="4"/>
    </row>
    <row r="161" spans="1:16" ht="15.75" customHeight="1">
      <c r="A161" s="49">
        <v>20</v>
      </c>
      <c r="B161" s="49" t="s">
        <v>1350</v>
      </c>
      <c r="C161" s="49" t="s">
        <v>227</v>
      </c>
      <c r="D161" s="49" t="s">
        <v>679</v>
      </c>
      <c r="E161" s="49" t="s">
        <v>232</v>
      </c>
      <c r="F161" s="49"/>
      <c r="G161" s="49" t="s">
        <v>35</v>
      </c>
      <c r="H161" s="50">
        <v>1000</v>
      </c>
      <c r="I161" s="55">
        <v>150</v>
      </c>
      <c r="J161" s="49" t="s">
        <v>36</v>
      </c>
      <c r="K161" s="49" t="s">
        <v>37</v>
      </c>
    </row>
    <row r="162" spans="1:16" ht="15.75" customHeight="1">
      <c r="A162" s="49">
        <v>20</v>
      </c>
      <c r="B162" s="49" t="s">
        <v>1351</v>
      </c>
      <c r="C162" s="49" t="s">
        <v>227</v>
      </c>
      <c r="D162" s="49" t="s">
        <v>342</v>
      </c>
      <c r="E162" s="49" t="s">
        <v>307</v>
      </c>
      <c r="F162" s="49"/>
      <c r="G162" s="49" t="s">
        <v>35</v>
      </c>
      <c r="H162" s="50">
        <v>3000</v>
      </c>
      <c r="I162" s="55">
        <v>450</v>
      </c>
      <c r="J162" s="49" t="s">
        <v>36</v>
      </c>
      <c r="K162" s="49" t="s">
        <v>37</v>
      </c>
    </row>
    <row r="163" spans="1:16" ht="15.75" customHeight="1">
      <c r="A163" s="49">
        <v>20</v>
      </c>
      <c r="B163" s="49" t="s">
        <v>1352</v>
      </c>
      <c r="C163" s="49" t="s">
        <v>227</v>
      </c>
      <c r="D163" s="49" t="s">
        <v>1353</v>
      </c>
      <c r="E163" s="49" t="s">
        <v>232</v>
      </c>
      <c r="F163" s="49"/>
      <c r="G163" s="49" t="s">
        <v>35</v>
      </c>
      <c r="H163" s="50">
        <v>500</v>
      </c>
      <c r="I163" s="49"/>
      <c r="J163" s="49" t="s">
        <v>43</v>
      </c>
      <c r="K163" s="49" t="s">
        <v>37</v>
      </c>
    </row>
    <row r="164" spans="1:16" ht="15.75" customHeight="1">
      <c r="A164" s="49">
        <v>21</v>
      </c>
      <c r="B164" s="49" t="s">
        <v>877</v>
      </c>
      <c r="C164" s="49" t="s">
        <v>227</v>
      </c>
      <c r="D164" s="49" t="s">
        <v>548</v>
      </c>
      <c r="E164" s="49" t="s">
        <v>48</v>
      </c>
      <c r="F164" s="49"/>
      <c r="G164" s="49" t="s">
        <v>35</v>
      </c>
      <c r="H164" s="50">
        <v>2000</v>
      </c>
      <c r="I164" s="55">
        <v>300</v>
      </c>
      <c r="J164" s="49" t="s">
        <v>36</v>
      </c>
      <c r="K164" s="49" t="s">
        <v>37</v>
      </c>
      <c r="P164" s="4"/>
    </row>
    <row r="165" spans="1:16" ht="15.75" customHeight="1">
      <c r="A165" s="49">
        <v>21</v>
      </c>
      <c r="B165" s="49" t="s">
        <v>1354</v>
      </c>
      <c r="C165" s="49" t="s">
        <v>227</v>
      </c>
      <c r="D165" s="49" t="s">
        <v>554</v>
      </c>
      <c r="E165" s="49" t="s">
        <v>235</v>
      </c>
      <c r="F165" s="49"/>
      <c r="G165" s="49" t="s">
        <v>35</v>
      </c>
      <c r="H165" s="50">
        <v>100</v>
      </c>
      <c r="I165" s="55">
        <v>15</v>
      </c>
      <c r="J165" s="49" t="s">
        <v>36</v>
      </c>
      <c r="K165" s="49" t="s">
        <v>37</v>
      </c>
      <c r="P165" s="4"/>
    </row>
    <row r="166" spans="1:16" ht="15.75" customHeight="1">
      <c r="A166" s="49">
        <v>21</v>
      </c>
      <c r="B166" s="49" t="s">
        <v>1355</v>
      </c>
      <c r="C166" s="49" t="s">
        <v>227</v>
      </c>
      <c r="D166" s="49" t="s">
        <v>971</v>
      </c>
      <c r="E166" s="49" t="s">
        <v>232</v>
      </c>
      <c r="F166" s="49"/>
      <c r="G166" s="49" t="s">
        <v>35</v>
      </c>
      <c r="H166" s="50">
        <v>2000</v>
      </c>
      <c r="I166" s="55">
        <v>300</v>
      </c>
      <c r="J166" s="49" t="s">
        <v>36</v>
      </c>
      <c r="K166" s="49" t="s">
        <v>37</v>
      </c>
      <c r="P166" s="4"/>
    </row>
    <row r="167" spans="1:16" ht="15.75" customHeight="1">
      <c r="A167" s="49">
        <v>21</v>
      </c>
      <c r="B167" s="49" t="s">
        <v>1356</v>
      </c>
      <c r="C167" s="49" t="s">
        <v>227</v>
      </c>
      <c r="D167" s="49" t="s">
        <v>1357</v>
      </c>
      <c r="E167" s="49" t="s">
        <v>115</v>
      </c>
      <c r="F167" s="49"/>
      <c r="G167" s="49" t="s">
        <v>35</v>
      </c>
      <c r="H167" s="50">
        <v>100</v>
      </c>
      <c r="I167" s="55">
        <v>45</v>
      </c>
      <c r="J167" s="49" t="s">
        <v>36</v>
      </c>
      <c r="K167" s="49" t="s">
        <v>37</v>
      </c>
      <c r="P167" s="4"/>
    </row>
    <row r="168" spans="1:16" ht="15.75" customHeight="1">
      <c r="A168" s="49">
        <v>21</v>
      </c>
      <c r="B168" s="49" t="s">
        <v>1358</v>
      </c>
      <c r="C168" s="49" t="s">
        <v>246</v>
      </c>
      <c r="D168" s="49" t="s">
        <v>33</v>
      </c>
      <c r="E168" s="49" t="s">
        <v>41</v>
      </c>
      <c r="F168" s="49"/>
      <c r="G168" s="49" t="s">
        <v>35</v>
      </c>
      <c r="H168" s="50">
        <v>2000</v>
      </c>
      <c r="I168" s="55">
        <v>300</v>
      </c>
      <c r="J168" s="49" t="s">
        <v>36</v>
      </c>
      <c r="K168" s="49" t="s">
        <v>37</v>
      </c>
      <c r="P168" s="4"/>
    </row>
    <row r="169" spans="1:16" ht="15.75" customHeight="1">
      <c r="A169" s="49">
        <v>21</v>
      </c>
      <c r="B169" s="49" t="s">
        <v>1359</v>
      </c>
      <c r="C169" s="49" t="s">
        <v>227</v>
      </c>
      <c r="D169" s="49" t="s">
        <v>385</v>
      </c>
      <c r="E169" s="49" t="s">
        <v>232</v>
      </c>
      <c r="F169" s="49"/>
      <c r="G169" s="49" t="s">
        <v>35</v>
      </c>
      <c r="H169" s="50">
        <v>60</v>
      </c>
      <c r="I169" s="55">
        <v>15</v>
      </c>
      <c r="J169" s="49" t="s">
        <v>36</v>
      </c>
      <c r="K169" s="49" t="s">
        <v>37</v>
      </c>
      <c r="P169" s="4"/>
    </row>
    <row r="170" spans="1:16" ht="15.75" customHeight="1">
      <c r="A170" s="49">
        <v>21</v>
      </c>
      <c r="B170" s="49" t="s">
        <v>1359</v>
      </c>
      <c r="C170" s="49" t="s">
        <v>227</v>
      </c>
      <c r="D170" s="49" t="s">
        <v>385</v>
      </c>
      <c r="E170" s="49" t="s">
        <v>232</v>
      </c>
      <c r="F170" s="49"/>
      <c r="G170" s="49" t="s">
        <v>170</v>
      </c>
      <c r="H170" s="50">
        <v>150</v>
      </c>
      <c r="I170" s="55">
        <v>90</v>
      </c>
      <c r="J170" s="49" t="s">
        <v>36</v>
      </c>
      <c r="K170" s="49" t="s">
        <v>37</v>
      </c>
      <c r="P170" s="4"/>
    </row>
    <row r="171" spans="1:16" ht="15.75" customHeight="1">
      <c r="A171" s="49">
        <v>21</v>
      </c>
      <c r="B171" s="49" t="s">
        <v>1360</v>
      </c>
      <c r="C171" s="49" t="s">
        <v>227</v>
      </c>
      <c r="D171" s="49" t="s">
        <v>1361</v>
      </c>
      <c r="E171" s="49" t="s">
        <v>321</v>
      </c>
      <c r="F171" s="49"/>
      <c r="G171" s="49" t="s">
        <v>35</v>
      </c>
      <c r="H171" s="50">
        <v>500</v>
      </c>
      <c r="I171" s="55">
        <v>75</v>
      </c>
      <c r="J171" s="49" t="s">
        <v>36</v>
      </c>
      <c r="K171" s="49" t="s">
        <v>37</v>
      </c>
      <c r="P171" s="4"/>
    </row>
    <row r="172" spans="1:16" ht="15.75" customHeight="1">
      <c r="A172" s="49">
        <v>21</v>
      </c>
      <c r="B172" s="49" t="s">
        <v>1362</v>
      </c>
      <c r="C172" s="49" t="s">
        <v>227</v>
      </c>
      <c r="D172" s="49" t="s">
        <v>924</v>
      </c>
      <c r="E172" s="49" t="s">
        <v>248</v>
      </c>
      <c r="F172" s="49"/>
      <c r="G172" s="49" t="s">
        <v>35</v>
      </c>
      <c r="H172" s="50">
        <v>500</v>
      </c>
      <c r="I172" s="55">
        <v>75</v>
      </c>
      <c r="J172" s="49" t="s">
        <v>36</v>
      </c>
      <c r="K172" s="49" t="s">
        <v>37</v>
      </c>
      <c r="P172" s="4"/>
    </row>
    <row r="173" spans="1:16" ht="15.75" customHeight="1">
      <c r="A173" s="49">
        <v>21</v>
      </c>
      <c r="B173" s="49" t="s">
        <v>1363</v>
      </c>
      <c r="C173" s="49" t="s">
        <v>227</v>
      </c>
      <c r="D173" s="49" t="s">
        <v>924</v>
      </c>
      <c r="E173" s="49" t="s">
        <v>248</v>
      </c>
      <c r="F173" s="49"/>
      <c r="G173" s="49" t="s">
        <v>35</v>
      </c>
      <c r="H173" s="50">
        <v>3000</v>
      </c>
      <c r="I173" s="55">
        <v>450</v>
      </c>
      <c r="J173" s="49" t="s">
        <v>36</v>
      </c>
      <c r="K173" s="49" t="s">
        <v>37</v>
      </c>
      <c r="P173" s="4"/>
    </row>
    <row r="174" spans="1:16" ht="15.75" customHeight="1">
      <c r="A174" s="49">
        <v>21</v>
      </c>
      <c r="B174" s="49" t="s">
        <v>1364</v>
      </c>
      <c r="C174" s="49" t="s">
        <v>227</v>
      </c>
      <c r="D174" s="49" t="s">
        <v>239</v>
      </c>
      <c r="E174" s="49" t="s">
        <v>232</v>
      </c>
      <c r="F174" s="49"/>
      <c r="G174" s="49" t="s">
        <v>35</v>
      </c>
      <c r="H174" s="50">
        <v>700</v>
      </c>
      <c r="I174" s="55">
        <v>105</v>
      </c>
      <c r="J174" s="49" t="s">
        <v>36</v>
      </c>
      <c r="K174" s="49" t="s">
        <v>37</v>
      </c>
      <c r="P174" s="4"/>
    </row>
    <row r="175" spans="1:16" ht="15.75" customHeight="1">
      <c r="A175" s="49">
        <v>21</v>
      </c>
      <c r="B175" s="49" t="s">
        <v>1364</v>
      </c>
      <c r="C175" s="49" t="s">
        <v>227</v>
      </c>
      <c r="D175" s="49" t="s">
        <v>239</v>
      </c>
      <c r="E175" s="49" t="s">
        <v>232</v>
      </c>
      <c r="F175" s="49"/>
      <c r="G175" s="49" t="s">
        <v>120</v>
      </c>
      <c r="H175" s="50">
        <v>5</v>
      </c>
      <c r="I175" s="55">
        <v>50</v>
      </c>
      <c r="J175" s="49" t="s">
        <v>36</v>
      </c>
      <c r="K175" s="49" t="s">
        <v>37</v>
      </c>
      <c r="P175" s="4"/>
    </row>
    <row r="176" spans="1:16" ht="15.75" customHeight="1">
      <c r="A176" s="49">
        <v>21</v>
      </c>
      <c r="B176" s="49" t="s">
        <v>1365</v>
      </c>
      <c r="C176" s="49" t="s">
        <v>227</v>
      </c>
      <c r="D176" s="49" t="s">
        <v>385</v>
      </c>
      <c r="E176" s="49" t="s">
        <v>232</v>
      </c>
      <c r="F176" s="49"/>
      <c r="G176" s="49" t="s">
        <v>35</v>
      </c>
      <c r="H176" s="50">
        <v>5000</v>
      </c>
      <c r="I176" s="55">
        <v>750</v>
      </c>
      <c r="J176" s="49" t="s">
        <v>36</v>
      </c>
      <c r="K176" s="49" t="s">
        <v>37</v>
      </c>
      <c r="P176" s="4"/>
    </row>
    <row r="177" spans="1:18" ht="15.75" customHeight="1">
      <c r="A177" s="49">
        <v>21</v>
      </c>
      <c r="B177" s="49" t="s">
        <v>1366</v>
      </c>
      <c r="C177" s="49" t="s">
        <v>246</v>
      </c>
      <c r="D177" s="49" t="s">
        <v>1367</v>
      </c>
      <c r="E177" s="49" t="s">
        <v>33</v>
      </c>
      <c r="F177" s="49"/>
      <c r="G177" s="49" t="s">
        <v>120</v>
      </c>
      <c r="H177" s="50">
        <v>15</v>
      </c>
      <c r="I177" s="55">
        <v>150</v>
      </c>
      <c r="J177" s="49" t="s">
        <v>36</v>
      </c>
      <c r="K177" s="49" t="s">
        <v>37</v>
      </c>
      <c r="P177" s="4"/>
    </row>
    <row r="178" spans="1:18" ht="15.75" customHeight="1">
      <c r="A178" s="49">
        <v>21</v>
      </c>
      <c r="B178" s="49" t="s">
        <v>1368</v>
      </c>
      <c r="C178" s="49" t="s">
        <v>246</v>
      </c>
      <c r="D178" s="49" t="s">
        <v>907</v>
      </c>
      <c r="E178" s="49" t="s">
        <v>235</v>
      </c>
      <c r="F178" s="49"/>
      <c r="G178" s="49" t="s">
        <v>35</v>
      </c>
      <c r="H178" s="50">
        <v>2000</v>
      </c>
      <c r="I178" s="55">
        <v>300</v>
      </c>
      <c r="J178" s="49" t="s">
        <v>36</v>
      </c>
      <c r="K178" s="49" t="s">
        <v>37</v>
      </c>
      <c r="P178" s="4"/>
    </row>
    <row r="179" spans="1:18" ht="15.75" customHeight="1">
      <c r="A179" s="49">
        <v>21</v>
      </c>
      <c r="B179" s="49" t="s">
        <v>1368</v>
      </c>
      <c r="C179" s="49" t="s">
        <v>246</v>
      </c>
      <c r="D179" s="49" t="s">
        <v>907</v>
      </c>
      <c r="E179" s="49" t="s">
        <v>235</v>
      </c>
      <c r="F179" s="49"/>
      <c r="G179" s="49" t="s">
        <v>120</v>
      </c>
      <c r="H179" s="50">
        <v>5</v>
      </c>
      <c r="I179" s="55">
        <v>50</v>
      </c>
      <c r="J179" s="49" t="s">
        <v>36</v>
      </c>
      <c r="K179" s="49" t="s">
        <v>37</v>
      </c>
      <c r="P179" s="4"/>
    </row>
    <row r="180" spans="1:18" ht="15.75" customHeight="1">
      <c r="A180" s="49">
        <v>22</v>
      </c>
      <c r="B180" s="49" t="s">
        <v>1369</v>
      </c>
      <c r="C180" s="49" t="s">
        <v>227</v>
      </c>
      <c r="D180" s="49" t="s">
        <v>751</v>
      </c>
      <c r="E180" s="49" t="s">
        <v>193</v>
      </c>
      <c r="F180" s="49"/>
      <c r="G180" s="49" t="s">
        <v>35</v>
      </c>
      <c r="H180" s="50">
        <v>10000</v>
      </c>
      <c r="I180" s="55">
        <v>1500</v>
      </c>
      <c r="J180" s="49" t="s">
        <v>36</v>
      </c>
      <c r="K180" s="49" t="s">
        <v>37</v>
      </c>
      <c r="P180" s="4"/>
      <c r="R180" s="4"/>
    </row>
    <row r="181" spans="1:18" ht="15.75" customHeight="1">
      <c r="A181" s="49">
        <v>22</v>
      </c>
      <c r="B181" s="49" t="s">
        <v>1369</v>
      </c>
      <c r="C181" s="49" t="s">
        <v>227</v>
      </c>
      <c r="D181" s="49" t="s">
        <v>751</v>
      </c>
      <c r="E181" s="49" t="s">
        <v>193</v>
      </c>
      <c r="F181" s="49"/>
      <c r="G181" s="49" t="s">
        <v>120</v>
      </c>
      <c r="H181" s="50">
        <v>100</v>
      </c>
      <c r="I181" s="55">
        <v>1000</v>
      </c>
      <c r="J181" s="49" t="s">
        <v>36</v>
      </c>
      <c r="K181" s="49" t="s">
        <v>37</v>
      </c>
      <c r="P181" s="4"/>
    </row>
    <row r="182" spans="1:18" ht="15.75" customHeight="1">
      <c r="A182" s="49">
        <v>22</v>
      </c>
      <c r="B182" s="49" t="s">
        <v>1370</v>
      </c>
      <c r="C182" s="49" t="s">
        <v>227</v>
      </c>
      <c r="D182" s="49" t="s">
        <v>345</v>
      </c>
      <c r="E182" s="49" t="s">
        <v>41</v>
      </c>
      <c r="F182" s="49"/>
      <c r="G182" s="49" t="s">
        <v>35</v>
      </c>
      <c r="H182" s="50">
        <v>3800</v>
      </c>
      <c r="I182" s="55">
        <v>570</v>
      </c>
      <c r="J182" s="49" t="s">
        <v>36</v>
      </c>
      <c r="K182" s="49" t="s">
        <v>37</v>
      </c>
      <c r="P182" s="4"/>
    </row>
    <row r="183" spans="1:18" ht="15.75" customHeight="1">
      <c r="A183" s="49">
        <v>22</v>
      </c>
      <c r="B183" s="49" t="s">
        <v>1371</v>
      </c>
      <c r="C183" s="49" t="s">
        <v>227</v>
      </c>
      <c r="D183" s="49" t="s">
        <v>277</v>
      </c>
      <c r="E183" s="49" t="s">
        <v>232</v>
      </c>
      <c r="F183" s="49"/>
      <c r="G183" s="49" t="s">
        <v>35</v>
      </c>
      <c r="H183" s="50">
        <v>4000</v>
      </c>
      <c r="I183" s="55">
        <v>600</v>
      </c>
      <c r="J183" s="49" t="s">
        <v>36</v>
      </c>
      <c r="K183" s="49" t="s">
        <v>37</v>
      </c>
      <c r="P183" s="4"/>
    </row>
    <row r="184" spans="1:18" ht="15.75" customHeight="1">
      <c r="A184" s="49">
        <v>22</v>
      </c>
      <c r="B184" s="49" t="s">
        <v>1052</v>
      </c>
      <c r="C184" s="49" t="s">
        <v>227</v>
      </c>
      <c r="D184" s="49" t="s">
        <v>32</v>
      </c>
      <c r="E184" s="49" t="s">
        <v>307</v>
      </c>
      <c r="F184" s="49"/>
      <c r="G184" s="49" t="s">
        <v>120</v>
      </c>
      <c r="H184" s="50">
        <v>115</v>
      </c>
      <c r="I184" s="55">
        <v>1150</v>
      </c>
      <c r="J184" s="49" t="s">
        <v>36</v>
      </c>
      <c r="K184" s="49" t="s">
        <v>37</v>
      </c>
      <c r="P184" s="4"/>
    </row>
    <row r="185" spans="1:18" ht="15.75" customHeight="1">
      <c r="A185" s="49">
        <v>22</v>
      </c>
      <c r="B185" s="49" t="s">
        <v>1372</v>
      </c>
      <c r="C185" s="49" t="s">
        <v>227</v>
      </c>
      <c r="D185" s="49" t="s">
        <v>33</v>
      </c>
      <c r="E185" s="49" t="s">
        <v>307</v>
      </c>
      <c r="F185" s="49"/>
      <c r="G185" s="49" t="s">
        <v>35</v>
      </c>
      <c r="H185" s="50">
        <v>300</v>
      </c>
      <c r="I185" s="55">
        <v>75</v>
      </c>
      <c r="J185" s="49" t="s">
        <v>36</v>
      </c>
      <c r="K185" s="49" t="s">
        <v>37</v>
      </c>
      <c r="P185" s="4"/>
    </row>
    <row r="186" spans="1:18" ht="15.75" customHeight="1">
      <c r="A186" s="49">
        <v>22</v>
      </c>
      <c r="B186" s="49" t="s">
        <v>1373</v>
      </c>
      <c r="C186" s="49" t="s">
        <v>227</v>
      </c>
      <c r="D186" s="49" t="s">
        <v>33</v>
      </c>
      <c r="E186" s="49" t="s">
        <v>307</v>
      </c>
      <c r="F186" s="49"/>
      <c r="G186" s="49" t="s">
        <v>35</v>
      </c>
      <c r="H186" s="50">
        <v>100</v>
      </c>
      <c r="I186" s="55">
        <v>25</v>
      </c>
      <c r="J186" s="49" t="s">
        <v>36</v>
      </c>
      <c r="K186" s="49" t="s">
        <v>37</v>
      </c>
      <c r="P186" s="4"/>
    </row>
    <row r="187" spans="1:18" ht="15.75" customHeight="1">
      <c r="A187" s="49">
        <v>22</v>
      </c>
      <c r="B187" s="49" t="s">
        <v>1373</v>
      </c>
      <c r="C187" s="49" t="s">
        <v>227</v>
      </c>
      <c r="D187" s="49" t="s">
        <v>33</v>
      </c>
      <c r="E187" s="49" t="s">
        <v>307</v>
      </c>
      <c r="F187" s="49"/>
      <c r="G187" s="49" t="s">
        <v>120</v>
      </c>
      <c r="H187" s="50">
        <v>5</v>
      </c>
      <c r="I187" s="55">
        <v>50</v>
      </c>
      <c r="J187" s="49" t="s">
        <v>36</v>
      </c>
      <c r="K187" s="49" t="s">
        <v>37</v>
      </c>
      <c r="P187" s="4"/>
    </row>
    <row r="188" spans="1:18" ht="15.75" customHeight="1">
      <c r="A188" s="49">
        <v>22</v>
      </c>
      <c r="B188" s="49" t="s">
        <v>1374</v>
      </c>
      <c r="C188" s="49" t="s">
        <v>227</v>
      </c>
      <c r="D188" s="49" t="s">
        <v>32</v>
      </c>
      <c r="E188" s="49" t="s">
        <v>199</v>
      </c>
      <c r="F188" s="49"/>
      <c r="G188" s="49" t="s">
        <v>120</v>
      </c>
      <c r="H188" s="50">
        <v>20</v>
      </c>
      <c r="I188" s="55">
        <v>200</v>
      </c>
      <c r="J188" s="49" t="s">
        <v>36</v>
      </c>
      <c r="K188" s="49" t="s">
        <v>37</v>
      </c>
      <c r="P188" s="4"/>
    </row>
    <row r="189" spans="1:18" ht="15.75" customHeight="1">
      <c r="A189" s="49">
        <v>22</v>
      </c>
      <c r="B189" s="49" t="s">
        <v>1375</v>
      </c>
      <c r="C189" s="49" t="s">
        <v>246</v>
      </c>
      <c r="D189" s="49" t="s">
        <v>288</v>
      </c>
      <c r="E189" s="49" t="s">
        <v>184</v>
      </c>
      <c r="F189" s="49"/>
      <c r="G189" s="49" t="s">
        <v>35</v>
      </c>
      <c r="H189" s="50">
        <v>2000</v>
      </c>
      <c r="I189" s="55">
        <v>300</v>
      </c>
      <c r="J189" s="49" t="s">
        <v>36</v>
      </c>
      <c r="K189" s="49" t="s">
        <v>37</v>
      </c>
      <c r="P189" s="4"/>
    </row>
    <row r="190" spans="1:18" ht="15.75" customHeight="1">
      <c r="A190" s="49">
        <v>22</v>
      </c>
      <c r="B190" s="49" t="s">
        <v>1376</v>
      </c>
      <c r="C190" s="49" t="s">
        <v>227</v>
      </c>
      <c r="D190" s="49" t="s">
        <v>1377</v>
      </c>
      <c r="E190" s="49" t="s">
        <v>248</v>
      </c>
      <c r="F190" s="49"/>
      <c r="G190" s="49" t="s">
        <v>35</v>
      </c>
      <c r="H190" s="50">
        <v>500</v>
      </c>
      <c r="I190" s="55">
        <v>75</v>
      </c>
      <c r="J190" s="49" t="s">
        <v>36</v>
      </c>
      <c r="K190" s="49" t="s">
        <v>37</v>
      </c>
      <c r="P190" s="4"/>
    </row>
    <row r="191" spans="1:18" ht="15.75" customHeight="1">
      <c r="A191" s="49">
        <v>22</v>
      </c>
      <c r="B191" s="49" t="s">
        <v>1378</v>
      </c>
      <c r="C191" s="49" t="s">
        <v>227</v>
      </c>
      <c r="D191" s="49" t="s">
        <v>250</v>
      </c>
      <c r="E191" s="49" t="s">
        <v>251</v>
      </c>
      <c r="F191" s="49"/>
      <c r="G191" s="49" t="s">
        <v>120</v>
      </c>
      <c r="H191" s="50">
        <v>50</v>
      </c>
      <c r="I191" s="55">
        <v>500</v>
      </c>
      <c r="J191" s="49" t="s">
        <v>36</v>
      </c>
      <c r="K191" s="49" t="s">
        <v>37</v>
      </c>
      <c r="P191" s="4"/>
    </row>
    <row r="192" spans="1:18" ht="15.75" customHeight="1">
      <c r="A192" s="49">
        <v>22</v>
      </c>
      <c r="B192" s="49" t="s">
        <v>1379</v>
      </c>
      <c r="C192" s="49" t="s">
        <v>246</v>
      </c>
      <c r="D192" s="49" t="s">
        <v>277</v>
      </c>
      <c r="E192" s="49" t="s">
        <v>232</v>
      </c>
      <c r="F192" s="49"/>
      <c r="G192" s="49" t="s">
        <v>35</v>
      </c>
      <c r="H192" s="50">
        <v>2000</v>
      </c>
      <c r="I192" s="55">
        <v>300</v>
      </c>
      <c r="J192" s="49" t="s">
        <v>36</v>
      </c>
      <c r="K192" s="49" t="s">
        <v>37</v>
      </c>
      <c r="P192" s="4"/>
    </row>
    <row r="193" spans="1:16" ht="15.75" customHeight="1">
      <c r="A193" s="49">
        <v>22</v>
      </c>
      <c r="B193" s="49" t="s">
        <v>1380</v>
      </c>
      <c r="C193" s="49" t="s">
        <v>246</v>
      </c>
      <c r="D193" s="49" t="s">
        <v>900</v>
      </c>
      <c r="E193" s="49" t="s">
        <v>251</v>
      </c>
      <c r="F193" s="49"/>
      <c r="G193" s="49" t="s">
        <v>35</v>
      </c>
      <c r="H193" s="50">
        <v>100</v>
      </c>
      <c r="I193" s="55">
        <v>15</v>
      </c>
      <c r="J193" s="49" t="s">
        <v>36</v>
      </c>
      <c r="K193" s="49" t="s">
        <v>37</v>
      </c>
      <c r="P193" s="4"/>
    </row>
    <row r="194" spans="1:16" ht="15.75" customHeight="1">
      <c r="A194" s="49">
        <v>22</v>
      </c>
      <c r="B194" s="49" t="s">
        <v>1380</v>
      </c>
      <c r="C194" s="49" t="s">
        <v>246</v>
      </c>
      <c r="D194" s="49" t="s">
        <v>900</v>
      </c>
      <c r="E194" s="49" t="s">
        <v>251</v>
      </c>
      <c r="F194" s="49"/>
      <c r="G194" s="49" t="s">
        <v>120</v>
      </c>
      <c r="H194" s="50">
        <v>10</v>
      </c>
      <c r="I194" s="55">
        <v>100</v>
      </c>
      <c r="J194" s="49" t="s">
        <v>36</v>
      </c>
      <c r="K194" s="49" t="s">
        <v>37</v>
      </c>
      <c r="P194" s="4"/>
    </row>
    <row r="195" spans="1:16" ht="15.75" customHeight="1">
      <c r="A195" s="49">
        <v>22</v>
      </c>
      <c r="B195" s="49" t="s">
        <v>367</v>
      </c>
      <c r="C195" s="49" t="s">
        <v>227</v>
      </c>
      <c r="D195" s="49" t="s">
        <v>231</v>
      </c>
      <c r="E195" s="49" t="s">
        <v>232</v>
      </c>
      <c r="F195" s="49"/>
      <c r="G195" s="49" t="s">
        <v>35</v>
      </c>
      <c r="H195" s="50">
        <v>3000</v>
      </c>
      <c r="I195" s="55">
        <v>450</v>
      </c>
      <c r="J195" s="49" t="s">
        <v>36</v>
      </c>
      <c r="K195" s="49" t="s">
        <v>37</v>
      </c>
      <c r="P195" s="4"/>
    </row>
    <row r="196" spans="1:16" ht="15.75" customHeight="1">
      <c r="A196" s="49">
        <v>22</v>
      </c>
      <c r="B196" s="49" t="s">
        <v>1376</v>
      </c>
      <c r="C196" s="49" t="s">
        <v>227</v>
      </c>
      <c r="D196" s="49" t="s">
        <v>1377</v>
      </c>
      <c r="E196" s="49" t="s">
        <v>248</v>
      </c>
      <c r="F196" s="49"/>
      <c r="G196" s="49" t="s">
        <v>35</v>
      </c>
      <c r="H196" s="50">
        <v>3000</v>
      </c>
      <c r="I196" s="55">
        <v>750</v>
      </c>
      <c r="J196" s="49" t="s">
        <v>36</v>
      </c>
      <c r="K196" s="49" t="s">
        <v>37</v>
      </c>
      <c r="P196" s="4"/>
    </row>
    <row r="197" spans="1:16" ht="15.75" customHeight="1">
      <c r="A197" s="49">
        <v>23</v>
      </c>
      <c r="B197" s="49" t="s">
        <v>1381</v>
      </c>
      <c r="C197" s="49" t="s">
        <v>227</v>
      </c>
      <c r="D197" s="49" t="s">
        <v>231</v>
      </c>
      <c r="E197" s="49" t="s">
        <v>232</v>
      </c>
      <c r="F197" s="49"/>
      <c r="G197" s="49" t="s">
        <v>35</v>
      </c>
      <c r="H197" s="50">
        <v>4000</v>
      </c>
      <c r="I197" s="55">
        <v>1000</v>
      </c>
      <c r="J197" s="49" t="s">
        <v>36</v>
      </c>
      <c r="K197" s="49" t="s">
        <v>37</v>
      </c>
      <c r="P197" s="4"/>
    </row>
    <row r="198" spans="1:16" ht="15.75" customHeight="1">
      <c r="A198" s="49">
        <v>23</v>
      </c>
      <c r="B198" s="49" t="s">
        <v>630</v>
      </c>
      <c r="C198" s="49" t="s">
        <v>227</v>
      </c>
      <c r="D198" s="49" t="s">
        <v>548</v>
      </c>
      <c r="E198" s="49" t="s">
        <v>232</v>
      </c>
      <c r="F198" s="49"/>
      <c r="G198" s="49" t="s">
        <v>35</v>
      </c>
      <c r="H198" s="50">
        <v>4000</v>
      </c>
      <c r="I198" s="55">
        <v>1000</v>
      </c>
      <c r="J198" s="49" t="s">
        <v>36</v>
      </c>
      <c r="K198" s="49" t="s">
        <v>37</v>
      </c>
      <c r="P198" s="4"/>
    </row>
    <row r="199" spans="1:16" ht="15.75" customHeight="1">
      <c r="A199" s="49">
        <v>23</v>
      </c>
      <c r="B199" s="49" t="s">
        <v>1382</v>
      </c>
      <c r="C199" s="49" t="s">
        <v>227</v>
      </c>
      <c r="D199" s="49" t="s">
        <v>619</v>
      </c>
      <c r="E199" s="49" t="s">
        <v>51</v>
      </c>
      <c r="F199" s="49"/>
      <c r="G199" s="49" t="s">
        <v>35</v>
      </c>
      <c r="H199" s="50">
        <v>2000</v>
      </c>
      <c r="I199" s="55">
        <v>500</v>
      </c>
      <c r="J199" s="49" t="s">
        <v>36</v>
      </c>
      <c r="K199" s="49" t="s">
        <v>37</v>
      </c>
      <c r="P199" s="4"/>
    </row>
    <row r="200" spans="1:16" ht="15.75" customHeight="1">
      <c r="A200" s="49">
        <v>24</v>
      </c>
      <c r="B200" s="49" t="s">
        <v>436</v>
      </c>
      <c r="C200" s="49" t="s">
        <v>227</v>
      </c>
      <c r="D200" s="49" t="s">
        <v>264</v>
      </c>
      <c r="E200" s="49" t="s">
        <v>199</v>
      </c>
      <c r="F200" s="49"/>
      <c r="G200" s="49" t="s">
        <v>35</v>
      </c>
      <c r="H200" s="50">
        <v>10000</v>
      </c>
      <c r="I200" s="55">
        <v>2500</v>
      </c>
      <c r="J200" s="49" t="s">
        <v>36</v>
      </c>
      <c r="K200" s="49" t="s">
        <v>37</v>
      </c>
      <c r="P200" s="4"/>
    </row>
    <row r="201" spans="1:16" ht="15.75" customHeight="1">
      <c r="A201" s="49">
        <v>24</v>
      </c>
      <c r="B201" s="49" t="s">
        <v>1383</v>
      </c>
      <c r="C201" s="49" t="s">
        <v>227</v>
      </c>
      <c r="D201" s="49" t="s">
        <v>277</v>
      </c>
      <c r="E201" s="49" t="s">
        <v>232</v>
      </c>
      <c r="F201" s="49"/>
      <c r="G201" s="49" t="s">
        <v>35</v>
      </c>
      <c r="H201" s="50">
        <v>5000</v>
      </c>
      <c r="I201" s="55">
        <v>750</v>
      </c>
      <c r="J201" s="49" t="s">
        <v>36</v>
      </c>
      <c r="K201" s="49" t="s">
        <v>37</v>
      </c>
      <c r="P201" s="4"/>
    </row>
    <row r="202" spans="1:16" ht="15.75" customHeight="1">
      <c r="A202" s="49">
        <v>24</v>
      </c>
      <c r="B202" s="49" t="s">
        <v>1384</v>
      </c>
      <c r="C202" s="49" t="s">
        <v>227</v>
      </c>
      <c r="D202" s="49" t="s">
        <v>1190</v>
      </c>
      <c r="E202" s="49" t="s">
        <v>241</v>
      </c>
      <c r="F202" s="49"/>
      <c r="G202" s="49" t="s">
        <v>35</v>
      </c>
      <c r="H202" s="50">
        <v>4500</v>
      </c>
      <c r="I202" s="55">
        <v>675</v>
      </c>
      <c r="J202" s="49" t="s">
        <v>36</v>
      </c>
      <c r="K202" s="49" t="s">
        <v>37</v>
      </c>
      <c r="P202" s="4"/>
    </row>
    <row r="203" spans="1:16" ht="15.75" customHeight="1">
      <c r="A203" s="49">
        <v>24</v>
      </c>
      <c r="B203" s="49" t="s">
        <v>1269</v>
      </c>
      <c r="C203" s="49" t="s">
        <v>227</v>
      </c>
      <c r="D203" s="49" t="s">
        <v>385</v>
      </c>
      <c r="E203" s="49" t="s">
        <v>232</v>
      </c>
      <c r="F203" s="49"/>
      <c r="G203" s="49" t="s">
        <v>35</v>
      </c>
      <c r="H203" s="50">
        <v>500</v>
      </c>
      <c r="I203" s="55">
        <v>125</v>
      </c>
      <c r="J203" s="49" t="s">
        <v>36</v>
      </c>
      <c r="K203" s="49" t="s">
        <v>37</v>
      </c>
      <c r="P203" s="4"/>
    </row>
    <row r="204" spans="1:16" ht="15.75" customHeight="1">
      <c r="A204" s="49">
        <v>24</v>
      </c>
      <c r="B204" s="49" t="s">
        <v>1385</v>
      </c>
      <c r="C204" s="49" t="s">
        <v>227</v>
      </c>
      <c r="D204" s="49" t="s">
        <v>288</v>
      </c>
      <c r="E204" s="49" t="s">
        <v>184</v>
      </c>
      <c r="F204" s="49"/>
      <c r="G204" s="49" t="s">
        <v>35</v>
      </c>
      <c r="H204" s="50">
        <v>3000</v>
      </c>
      <c r="I204" s="55">
        <v>750</v>
      </c>
      <c r="J204" s="49" t="s">
        <v>36</v>
      </c>
      <c r="K204" s="49" t="s">
        <v>37</v>
      </c>
      <c r="P204" s="4"/>
    </row>
    <row r="205" spans="1:16" ht="15.75" customHeight="1">
      <c r="A205" s="49">
        <v>24</v>
      </c>
      <c r="B205" s="49" t="s">
        <v>1386</v>
      </c>
      <c r="C205" s="49" t="s">
        <v>227</v>
      </c>
      <c r="D205" s="49" t="s">
        <v>295</v>
      </c>
      <c r="E205" s="49" t="s">
        <v>248</v>
      </c>
      <c r="F205" s="49"/>
      <c r="G205" s="49" t="s">
        <v>35</v>
      </c>
      <c r="H205" s="50">
        <v>1500</v>
      </c>
      <c r="I205" s="55">
        <v>225</v>
      </c>
      <c r="J205" s="49" t="s">
        <v>36</v>
      </c>
      <c r="K205" s="49" t="s">
        <v>37</v>
      </c>
      <c r="P205" s="4"/>
    </row>
    <row r="206" spans="1:16" ht="15.75" customHeight="1">
      <c r="A206" s="49">
        <v>24</v>
      </c>
      <c r="B206" s="49" t="s">
        <v>1387</v>
      </c>
      <c r="C206" s="49" t="s">
        <v>227</v>
      </c>
      <c r="D206" s="49" t="s">
        <v>452</v>
      </c>
      <c r="E206" s="49" t="s">
        <v>48</v>
      </c>
      <c r="F206" s="49"/>
      <c r="G206" s="49" t="s">
        <v>35</v>
      </c>
      <c r="H206" s="50">
        <v>1000</v>
      </c>
      <c r="I206" s="55">
        <v>150</v>
      </c>
      <c r="J206" s="49" t="s">
        <v>36</v>
      </c>
      <c r="K206" s="49" t="s">
        <v>37</v>
      </c>
      <c r="P206" s="4"/>
    </row>
    <row r="207" spans="1:16" ht="15.75" customHeight="1">
      <c r="A207" s="49">
        <v>24</v>
      </c>
      <c r="B207" s="49" t="s">
        <v>1388</v>
      </c>
      <c r="C207" s="49" t="s">
        <v>227</v>
      </c>
      <c r="D207" s="49" t="s">
        <v>295</v>
      </c>
      <c r="E207" s="49" t="s">
        <v>248</v>
      </c>
      <c r="F207" s="49"/>
      <c r="G207" s="49" t="s">
        <v>35</v>
      </c>
      <c r="H207" s="50">
        <v>1500</v>
      </c>
      <c r="I207" s="55">
        <v>375</v>
      </c>
      <c r="J207" s="49" t="s">
        <v>36</v>
      </c>
      <c r="K207" s="49" t="s">
        <v>37</v>
      </c>
      <c r="P207" s="4"/>
    </row>
    <row r="208" spans="1:16" ht="15.75" customHeight="1">
      <c r="A208" s="49">
        <v>24</v>
      </c>
      <c r="B208" s="49" t="s">
        <v>1389</v>
      </c>
      <c r="C208" s="49" t="s">
        <v>227</v>
      </c>
      <c r="D208" s="49" t="s">
        <v>1390</v>
      </c>
      <c r="E208" s="49" t="s">
        <v>80</v>
      </c>
      <c r="F208" s="49"/>
      <c r="G208" s="49" t="s">
        <v>35</v>
      </c>
      <c r="H208" s="50">
        <v>1000</v>
      </c>
      <c r="I208" s="55">
        <v>250</v>
      </c>
      <c r="J208" s="49" t="s">
        <v>36</v>
      </c>
      <c r="K208" s="49" t="s">
        <v>37</v>
      </c>
      <c r="P208" s="4"/>
    </row>
    <row r="209" spans="1:16" ht="15.75" customHeight="1">
      <c r="A209" s="49">
        <v>24</v>
      </c>
      <c r="B209" s="49" t="s">
        <v>1391</v>
      </c>
      <c r="C209" s="49" t="s">
        <v>227</v>
      </c>
      <c r="D209" s="49" t="s">
        <v>1390</v>
      </c>
      <c r="E209" s="49" t="s">
        <v>80</v>
      </c>
      <c r="F209" s="49"/>
      <c r="G209" s="49" t="s">
        <v>35</v>
      </c>
      <c r="H209" s="50">
        <v>1000</v>
      </c>
      <c r="I209" s="55">
        <v>250</v>
      </c>
      <c r="J209" s="49" t="s">
        <v>36</v>
      </c>
      <c r="K209" s="49" t="s">
        <v>37</v>
      </c>
      <c r="P209" s="4"/>
    </row>
    <row r="210" spans="1:16" ht="15.75" customHeight="1">
      <c r="A210" s="49">
        <v>24</v>
      </c>
      <c r="B210" s="49" t="s">
        <v>1392</v>
      </c>
      <c r="C210" s="49" t="s">
        <v>227</v>
      </c>
      <c r="D210" s="49" t="s">
        <v>1393</v>
      </c>
      <c r="E210" s="49" t="s">
        <v>600</v>
      </c>
      <c r="F210" s="49"/>
      <c r="G210" s="49" t="s">
        <v>822</v>
      </c>
      <c r="H210" s="50">
        <v>200</v>
      </c>
      <c r="I210" s="55">
        <v>120</v>
      </c>
      <c r="J210" s="49" t="s">
        <v>36</v>
      </c>
      <c r="K210" s="49" t="s">
        <v>37</v>
      </c>
      <c r="P210" s="4"/>
    </row>
    <row r="211" spans="1:16" ht="15.75" customHeight="1">
      <c r="A211" s="49">
        <v>24</v>
      </c>
      <c r="B211" s="49" t="s">
        <v>1394</v>
      </c>
      <c r="C211" s="49" t="s">
        <v>227</v>
      </c>
      <c r="D211" s="49" t="s">
        <v>32</v>
      </c>
      <c r="E211" s="49" t="s">
        <v>1395</v>
      </c>
      <c r="F211" s="49"/>
      <c r="G211" s="49" t="s">
        <v>35</v>
      </c>
      <c r="H211" s="50">
        <v>2000</v>
      </c>
      <c r="I211" s="55"/>
      <c r="J211" s="49" t="s">
        <v>43</v>
      </c>
      <c r="K211" s="49" t="s">
        <v>37</v>
      </c>
      <c r="P211" s="4"/>
    </row>
    <row r="212" spans="1:16" ht="15.75" customHeight="1">
      <c r="A212" s="49">
        <v>25</v>
      </c>
      <c r="B212" s="49" t="s">
        <v>1396</v>
      </c>
      <c r="C212" s="49" t="s">
        <v>227</v>
      </c>
      <c r="D212" s="49" t="s">
        <v>548</v>
      </c>
      <c r="E212" s="49" t="s">
        <v>232</v>
      </c>
      <c r="F212" s="49"/>
      <c r="G212" s="49" t="s">
        <v>35</v>
      </c>
      <c r="H212" s="50">
        <v>1900</v>
      </c>
      <c r="I212" s="55">
        <v>855</v>
      </c>
      <c r="J212" s="49" t="s">
        <v>36</v>
      </c>
      <c r="K212" s="49" t="s">
        <v>37</v>
      </c>
      <c r="P212" s="4"/>
    </row>
    <row r="213" spans="1:16" ht="15.75" customHeight="1">
      <c r="A213" s="49">
        <v>26</v>
      </c>
      <c r="B213" s="49" t="s">
        <v>1397</v>
      </c>
      <c r="C213" s="49" t="s">
        <v>227</v>
      </c>
      <c r="D213" s="49" t="s">
        <v>910</v>
      </c>
      <c r="E213" s="49" t="s">
        <v>248</v>
      </c>
      <c r="F213" s="49"/>
      <c r="G213" s="49" t="s">
        <v>35</v>
      </c>
      <c r="H213" s="50">
        <v>1000</v>
      </c>
      <c r="I213" s="55">
        <v>250</v>
      </c>
      <c r="J213" s="49" t="s">
        <v>36</v>
      </c>
      <c r="K213" s="49" t="s">
        <v>37</v>
      </c>
      <c r="P213" s="4"/>
    </row>
    <row r="214" spans="1:16" ht="15.75" customHeight="1">
      <c r="A214" s="49">
        <v>26</v>
      </c>
      <c r="B214" s="49" t="s">
        <v>1398</v>
      </c>
      <c r="C214" s="49" t="s">
        <v>227</v>
      </c>
      <c r="D214" s="49" t="s">
        <v>522</v>
      </c>
      <c r="E214" s="49" t="s">
        <v>307</v>
      </c>
      <c r="F214" s="49"/>
      <c r="G214" s="49" t="s">
        <v>35</v>
      </c>
      <c r="H214" s="50">
        <v>60</v>
      </c>
      <c r="I214" s="55">
        <v>15</v>
      </c>
      <c r="J214" s="49" t="s">
        <v>36</v>
      </c>
      <c r="K214" s="49" t="s">
        <v>37</v>
      </c>
      <c r="P214" s="4"/>
    </row>
    <row r="215" spans="1:16" ht="15.75" customHeight="1">
      <c r="A215" s="49">
        <v>27</v>
      </c>
      <c r="B215" s="49" t="s">
        <v>243</v>
      </c>
      <c r="C215" s="49" t="s">
        <v>227</v>
      </c>
      <c r="D215" s="49" t="s">
        <v>244</v>
      </c>
      <c r="E215" s="49" t="s">
        <v>235</v>
      </c>
      <c r="F215" s="49"/>
      <c r="G215" s="49" t="s">
        <v>35</v>
      </c>
      <c r="H215" s="50">
        <v>200</v>
      </c>
      <c r="I215" s="55">
        <v>50</v>
      </c>
      <c r="J215" s="49" t="s">
        <v>36</v>
      </c>
      <c r="K215" s="49" t="s">
        <v>37</v>
      </c>
      <c r="P215" s="4"/>
    </row>
    <row r="216" spans="1:16" ht="15.75" customHeight="1">
      <c r="A216" s="49">
        <v>27</v>
      </c>
      <c r="B216" s="49" t="s">
        <v>1399</v>
      </c>
      <c r="C216" s="49" t="s">
        <v>246</v>
      </c>
      <c r="D216" s="49" t="s">
        <v>32</v>
      </c>
      <c r="E216" s="49" t="s">
        <v>241</v>
      </c>
      <c r="F216" s="49"/>
      <c r="G216" s="49" t="s">
        <v>35</v>
      </c>
      <c r="H216" s="50">
        <v>300</v>
      </c>
      <c r="I216" s="55"/>
      <c r="J216" s="49" t="s">
        <v>43</v>
      </c>
      <c r="K216" s="49" t="s">
        <v>37</v>
      </c>
      <c r="P216" s="4"/>
    </row>
    <row r="217" spans="1:16" ht="15.75" customHeight="1">
      <c r="A217" s="49">
        <v>28</v>
      </c>
      <c r="B217" s="49" t="s">
        <v>1400</v>
      </c>
      <c r="C217" s="49" t="s">
        <v>246</v>
      </c>
      <c r="D217" s="49" t="s">
        <v>1249</v>
      </c>
      <c r="E217" s="49" t="s">
        <v>251</v>
      </c>
      <c r="F217" s="49"/>
      <c r="G217" s="49" t="s">
        <v>242</v>
      </c>
      <c r="H217" s="50">
        <v>40</v>
      </c>
      <c r="I217" s="55">
        <v>120</v>
      </c>
      <c r="J217" s="49" t="s">
        <v>36</v>
      </c>
      <c r="K217" s="49" t="s">
        <v>37</v>
      </c>
      <c r="P217" s="4"/>
    </row>
    <row r="218" spans="1:16" ht="15.75" customHeight="1">
      <c r="A218" s="49">
        <v>28</v>
      </c>
      <c r="B218" s="49" t="s">
        <v>1401</v>
      </c>
      <c r="C218" s="49" t="s">
        <v>227</v>
      </c>
      <c r="D218" s="49" t="s">
        <v>1030</v>
      </c>
      <c r="E218" s="49" t="s">
        <v>307</v>
      </c>
      <c r="F218" s="49"/>
      <c r="G218" s="49" t="s">
        <v>35</v>
      </c>
      <c r="H218" s="50">
        <v>500</v>
      </c>
      <c r="I218" s="55">
        <v>75</v>
      </c>
      <c r="J218" s="49" t="s">
        <v>36</v>
      </c>
      <c r="K218" s="49" t="s">
        <v>37</v>
      </c>
      <c r="P218" s="4"/>
    </row>
    <row r="219" spans="1:16" ht="15.75" customHeight="1">
      <c r="A219" s="49">
        <v>28</v>
      </c>
      <c r="B219" s="49" t="s">
        <v>1402</v>
      </c>
      <c r="C219" s="49" t="s">
        <v>227</v>
      </c>
      <c r="D219" s="49" t="s">
        <v>1030</v>
      </c>
      <c r="E219" s="49" t="s">
        <v>307</v>
      </c>
      <c r="F219" s="49"/>
      <c r="G219" s="49" t="s">
        <v>35</v>
      </c>
      <c r="H219" s="50">
        <v>500</v>
      </c>
      <c r="I219" s="55">
        <v>75</v>
      </c>
      <c r="J219" s="49" t="s">
        <v>36</v>
      </c>
      <c r="K219" s="49" t="s">
        <v>37</v>
      </c>
      <c r="P219" s="4"/>
    </row>
    <row r="220" spans="1:16" ht="15.75" customHeight="1">
      <c r="A220" s="49">
        <v>28</v>
      </c>
      <c r="B220" s="49" t="s">
        <v>1403</v>
      </c>
      <c r="C220" s="49" t="s">
        <v>227</v>
      </c>
      <c r="D220" s="49" t="s">
        <v>554</v>
      </c>
      <c r="E220" s="49" t="s">
        <v>248</v>
      </c>
      <c r="F220" s="49"/>
      <c r="G220" s="49" t="s">
        <v>35</v>
      </c>
      <c r="H220" s="50">
        <v>500</v>
      </c>
      <c r="I220" s="55">
        <v>75</v>
      </c>
      <c r="J220" s="49" t="s">
        <v>36</v>
      </c>
      <c r="K220" s="49" t="s">
        <v>37</v>
      </c>
      <c r="P220" s="4"/>
    </row>
    <row r="221" spans="1:16" ht="15.75" customHeight="1">
      <c r="A221" s="49">
        <v>28</v>
      </c>
      <c r="B221" s="49" t="s">
        <v>1404</v>
      </c>
      <c r="C221" s="49" t="s">
        <v>227</v>
      </c>
      <c r="D221" s="49" t="s">
        <v>896</v>
      </c>
      <c r="E221" s="49" t="s">
        <v>41</v>
      </c>
      <c r="F221" s="49"/>
      <c r="G221" s="49" t="s">
        <v>35</v>
      </c>
      <c r="H221" s="50">
        <v>500</v>
      </c>
      <c r="I221" s="55"/>
      <c r="J221" s="49" t="s">
        <v>43</v>
      </c>
      <c r="K221" s="49" t="s">
        <v>37</v>
      </c>
      <c r="P221" s="4"/>
    </row>
    <row r="222" spans="1:16" ht="15.75" customHeight="1">
      <c r="A222" s="49">
        <v>28</v>
      </c>
      <c r="B222" s="49" t="s">
        <v>1405</v>
      </c>
      <c r="C222" s="49" t="s">
        <v>227</v>
      </c>
      <c r="D222" s="49" t="s">
        <v>896</v>
      </c>
      <c r="E222" s="49" t="s">
        <v>41</v>
      </c>
      <c r="F222" s="49"/>
      <c r="G222" s="49" t="s">
        <v>35</v>
      </c>
      <c r="H222" s="50">
        <v>500</v>
      </c>
      <c r="I222" s="55"/>
      <c r="J222" s="49" t="s">
        <v>43</v>
      </c>
      <c r="K222" s="49" t="s">
        <v>37</v>
      </c>
      <c r="P222" s="4"/>
    </row>
    <row r="223" spans="1:16" ht="15.75" customHeight="1">
      <c r="A223" s="49"/>
      <c r="B223" s="49"/>
      <c r="C223" s="49"/>
      <c r="D223" s="49"/>
      <c r="E223" s="49"/>
      <c r="F223" s="49"/>
      <c r="G223" s="49"/>
      <c r="H223" s="50"/>
      <c r="I223" s="55"/>
      <c r="J223" s="49"/>
      <c r="K223" s="49"/>
      <c r="P223" s="4"/>
    </row>
    <row r="224" spans="1:16" ht="15.75" customHeight="1">
      <c r="A224" s="49"/>
      <c r="B224" s="49"/>
      <c r="C224" s="49"/>
      <c r="D224" s="49"/>
      <c r="E224" s="49"/>
      <c r="F224" s="49"/>
      <c r="G224" s="49"/>
      <c r="H224" s="50"/>
      <c r="I224" s="49"/>
      <c r="J224" s="49"/>
      <c r="K224" s="49"/>
    </row>
    <row r="225" spans="1:11" ht="15.75" customHeight="1">
      <c r="A225" s="49"/>
      <c r="B225" s="49"/>
      <c r="C225" s="49"/>
      <c r="D225" s="49"/>
      <c r="E225" s="49"/>
      <c r="F225" s="49"/>
      <c r="G225" s="49"/>
      <c r="H225" s="50"/>
      <c r="I225" s="49"/>
      <c r="J225" s="49"/>
      <c r="K225" s="49"/>
    </row>
    <row r="226" spans="1:11" ht="15.75" customHeight="1">
      <c r="A226" s="1"/>
      <c r="B226" s="1"/>
      <c r="D226" s="1"/>
      <c r="E226" s="1"/>
      <c r="G226" s="1"/>
      <c r="H226" s="4"/>
      <c r="J226" s="1"/>
    </row>
    <row r="227" spans="1:11" ht="15.75" customHeight="1">
      <c r="A227" s="1"/>
      <c r="B227" s="1"/>
      <c r="D227" s="1"/>
      <c r="E227" s="1"/>
      <c r="G227" s="1"/>
      <c r="H227" s="4"/>
      <c r="J227" s="1"/>
    </row>
    <row r="228" spans="1:11" ht="15.75" customHeight="1">
      <c r="A228" s="1"/>
      <c r="B228" s="1"/>
      <c r="D228" s="1"/>
      <c r="E228" s="1"/>
      <c r="G228" s="1"/>
      <c r="H228" s="4"/>
      <c r="J228" s="1"/>
    </row>
    <row r="229" spans="1:11" ht="15.75" customHeight="1">
      <c r="A229" s="1"/>
      <c r="B229" s="1"/>
      <c r="D229" s="1"/>
      <c r="E229" s="1"/>
      <c r="G229" s="1"/>
      <c r="H229" s="4"/>
      <c r="J229" s="1"/>
    </row>
    <row r="230" spans="1:11" ht="15.75" customHeight="1">
      <c r="A230" s="1"/>
      <c r="B230" s="1"/>
      <c r="D230" s="1"/>
      <c r="E230" s="1"/>
      <c r="G230" s="1"/>
      <c r="H230" s="4"/>
      <c r="J230" s="1"/>
    </row>
    <row r="231" spans="1:11" ht="15.75" customHeight="1">
      <c r="A231" s="1"/>
      <c r="B231" s="1"/>
      <c r="D231" s="1"/>
      <c r="E231" s="1"/>
      <c r="G231" s="1"/>
      <c r="H231" s="4"/>
      <c r="J231" s="1"/>
    </row>
    <row r="232" spans="1:11" ht="15.75" customHeight="1">
      <c r="A232" s="1"/>
      <c r="B232" s="1"/>
      <c r="D232" s="1"/>
      <c r="E232" s="1"/>
      <c r="G232" s="1"/>
      <c r="H232" s="4"/>
      <c r="J232" s="1"/>
    </row>
    <row r="233" spans="1:11" ht="15.75" customHeight="1">
      <c r="I233" s="60" t="s">
        <v>53</v>
      </c>
      <c r="J233" s="60"/>
    </row>
    <row r="234" spans="1:11" ht="15.75" customHeight="1">
      <c r="B234" s="61" t="s">
        <v>55</v>
      </c>
      <c r="E234" s="61" t="s">
        <v>56</v>
      </c>
      <c r="I234" s="60" t="s">
        <v>1406</v>
      </c>
      <c r="J234" s="60"/>
    </row>
    <row r="235" spans="1:11" ht="15.75" customHeight="1">
      <c r="I235" s="60" t="s">
        <v>1407</v>
      </c>
      <c r="J235" s="60"/>
    </row>
    <row r="236" spans="1:11" ht="15.75" customHeight="1">
      <c r="I236" s="60" t="s">
        <v>1408</v>
      </c>
      <c r="J236" s="60"/>
    </row>
    <row r="237" spans="1:11" ht="15.75" customHeight="1">
      <c r="B237" s="65" t="s">
        <v>109</v>
      </c>
      <c r="E237" s="65" t="s">
        <v>61</v>
      </c>
      <c r="F237" s="65"/>
      <c r="G237" s="62"/>
      <c r="I237" s="60" t="s">
        <v>1409</v>
      </c>
      <c r="J237" s="60"/>
    </row>
    <row r="238" spans="1:11" ht="15.75" customHeight="1">
      <c r="B238" s="61" t="s">
        <v>110</v>
      </c>
      <c r="E238" s="61" t="s">
        <v>124</v>
      </c>
      <c r="I238" s="60" t="s">
        <v>1410</v>
      </c>
      <c r="J238" s="60"/>
    </row>
    <row r="239" spans="1:11" ht="15.75" customHeight="1">
      <c r="I239" s="60" t="s">
        <v>1411</v>
      </c>
      <c r="J239" s="60"/>
    </row>
    <row r="240" spans="1:11" ht="15.75" customHeight="1">
      <c r="I240" s="60" t="s">
        <v>66</v>
      </c>
      <c r="J240" s="60"/>
    </row>
    <row r="241" spans="9:10" ht="15.75" customHeight="1">
      <c r="I241" s="60" t="s">
        <v>1412</v>
      </c>
      <c r="J241" s="63"/>
    </row>
    <row r="242" spans="9:10" ht="15.75" customHeight="1">
      <c r="I242" s="60" t="s">
        <v>1413</v>
      </c>
      <c r="J242" s="63"/>
    </row>
    <row r="243" spans="9:10" ht="15.75" customHeight="1"/>
    <row r="244" spans="9:10" ht="15.75" customHeight="1"/>
    <row r="245" spans="9:10" ht="15.75" customHeight="1"/>
    <row r="246" spans="9:10" ht="15.75" customHeight="1"/>
    <row r="247" spans="9:10" ht="15.75" customHeight="1"/>
    <row r="248" spans="9:10" ht="15.75" customHeight="1"/>
    <row r="249" spans="9:10" ht="15.75" customHeight="1"/>
    <row r="250" spans="9:10" ht="15.75" customHeight="1"/>
    <row r="251" spans="9:10" ht="15.75" customHeight="1"/>
    <row r="252" spans="9:10" ht="15.75" customHeight="1"/>
    <row r="253" spans="9:10" ht="15.75" customHeight="1"/>
    <row r="254" spans="9:10" ht="15.75" customHeight="1"/>
    <row r="255" spans="9:10" ht="15.75" customHeight="1"/>
    <row r="256" spans="9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" right="0.7" top="0.75" bottom="0.75" header="0" footer="0"/>
  <pageSetup paperSize="5" scale="9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1414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1415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1416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1417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1418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4</v>
      </c>
      <c r="B12" s="49" t="s">
        <v>1419</v>
      </c>
      <c r="C12" s="49" t="s">
        <v>227</v>
      </c>
      <c r="D12" s="49" t="s">
        <v>1420</v>
      </c>
      <c r="E12" s="49" t="s">
        <v>600</v>
      </c>
      <c r="F12" s="49"/>
      <c r="G12" s="49" t="s">
        <v>242</v>
      </c>
      <c r="H12" s="49">
        <v>33</v>
      </c>
      <c r="I12" s="55">
        <v>99</v>
      </c>
      <c r="J12" s="49" t="s">
        <v>36</v>
      </c>
      <c r="K12" s="49" t="s">
        <v>536</v>
      </c>
    </row>
    <row r="13" spans="1:11">
      <c r="A13" s="49">
        <v>4</v>
      </c>
      <c r="B13" s="49" t="s">
        <v>1421</v>
      </c>
      <c r="C13" s="49" t="s">
        <v>227</v>
      </c>
      <c r="D13" s="49" t="s">
        <v>1422</v>
      </c>
      <c r="E13" s="49" t="s">
        <v>142</v>
      </c>
      <c r="F13" s="49"/>
      <c r="G13" s="49" t="s">
        <v>355</v>
      </c>
      <c r="H13" s="49">
        <v>25</v>
      </c>
      <c r="I13" s="55">
        <v>125</v>
      </c>
      <c r="J13" s="49" t="s">
        <v>36</v>
      </c>
      <c r="K13" s="49" t="s">
        <v>536</v>
      </c>
    </row>
    <row r="14" spans="1:11">
      <c r="A14" s="49">
        <v>4</v>
      </c>
      <c r="B14" s="49" t="s">
        <v>1423</v>
      </c>
      <c r="C14" s="49" t="s">
        <v>227</v>
      </c>
      <c r="D14" s="49" t="s">
        <v>306</v>
      </c>
      <c r="E14" s="49" t="s">
        <v>307</v>
      </c>
      <c r="F14" s="49"/>
      <c r="G14" s="49" t="s">
        <v>242</v>
      </c>
      <c r="H14" s="49">
        <v>20</v>
      </c>
      <c r="I14" s="55">
        <v>60</v>
      </c>
      <c r="J14" s="49" t="s">
        <v>36</v>
      </c>
      <c r="K14" s="49" t="s">
        <v>536</v>
      </c>
    </row>
    <row r="15" spans="1:11">
      <c r="A15" s="49">
        <v>4</v>
      </c>
      <c r="B15" s="49" t="s">
        <v>1424</v>
      </c>
      <c r="C15" s="49" t="s">
        <v>227</v>
      </c>
      <c r="D15" s="49" t="s">
        <v>947</v>
      </c>
      <c r="E15" s="49" t="s">
        <v>164</v>
      </c>
      <c r="F15" s="49"/>
      <c r="G15" s="49" t="s">
        <v>35</v>
      </c>
      <c r="H15" s="49">
        <v>500</v>
      </c>
      <c r="I15" s="55">
        <v>75</v>
      </c>
      <c r="J15" s="49" t="s">
        <v>36</v>
      </c>
      <c r="K15" s="49" t="s">
        <v>536</v>
      </c>
    </row>
    <row r="16" spans="1:11">
      <c r="A16" s="49">
        <v>4</v>
      </c>
      <c r="B16" s="49" t="s">
        <v>1425</v>
      </c>
      <c r="C16" s="49" t="s">
        <v>227</v>
      </c>
      <c r="D16" s="49" t="s">
        <v>1426</v>
      </c>
      <c r="E16" s="49" t="s">
        <v>51</v>
      </c>
      <c r="F16" s="49"/>
      <c r="G16" s="49" t="s">
        <v>1103</v>
      </c>
      <c r="H16" s="49">
        <v>150</v>
      </c>
      <c r="I16" s="55">
        <v>150</v>
      </c>
      <c r="J16" s="49" t="s">
        <v>36</v>
      </c>
      <c r="K16" s="49" t="s">
        <v>536</v>
      </c>
    </row>
    <row r="17" spans="1:17">
      <c r="A17" s="49">
        <v>5</v>
      </c>
      <c r="B17" s="49" t="s">
        <v>1427</v>
      </c>
      <c r="C17" s="49" t="s">
        <v>246</v>
      </c>
      <c r="D17" s="49" t="s">
        <v>40</v>
      </c>
      <c r="E17" s="49" t="s">
        <v>232</v>
      </c>
      <c r="F17" s="49"/>
      <c r="G17" s="49" t="s">
        <v>35</v>
      </c>
      <c r="H17" s="50">
        <v>1500</v>
      </c>
      <c r="I17" s="55">
        <v>225</v>
      </c>
      <c r="J17" s="49" t="s">
        <v>36</v>
      </c>
      <c r="K17" s="49" t="s">
        <v>536</v>
      </c>
    </row>
    <row r="18" spans="1:17">
      <c r="A18" s="49">
        <v>5</v>
      </c>
      <c r="B18" s="49" t="s">
        <v>1428</v>
      </c>
      <c r="C18" s="49" t="s">
        <v>227</v>
      </c>
      <c r="D18" s="49" t="s">
        <v>313</v>
      </c>
      <c r="E18" s="49" t="s">
        <v>152</v>
      </c>
      <c r="F18" s="49"/>
      <c r="G18" s="49" t="s">
        <v>35</v>
      </c>
      <c r="H18" s="49">
        <v>300</v>
      </c>
      <c r="I18" s="55">
        <v>45</v>
      </c>
      <c r="J18" s="49" t="s">
        <v>36</v>
      </c>
      <c r="K18" s="49" t="s">
        <v>536</v>
      </c>
    </row>
    <row r="19" spans="1:17">
      <c r="A19" s="49">
        <v>5</v>
      </c>
      <c r="B19" s="49" t="s">
        <v>1429</v>
      </c>
      <c r="C19" s="49" t="s">
        <v>227</v>
      </c>
      <c r="D19" s="49" t="s">
        <v>268</v>
      </c>
      <c r="E19" s="49" t="s">
        <v>248</v>
      </c>
      <c r="F19" s="49"/>
      <c r="G19" s="49" t="s">
        <v>35</v>
      </c>
      <c r="H19" s="50">
        <v>3000</v>
      </c>
      <c r="I19" s="55">
        <v>450</v>
      </c>
      <c r="J19" s="49" t="s">
        <v>36</v>
      </c>
      <c r="K19" s="49" t="s">
        <v>536</v>
      </c>
    </row>
    <row r="20" spans="1:17">
      <c r="A20" s="49">
        <v>5</v>
      </c>
      <c r="B20" s="49" t="s">
        <v>1430</v>
      </c>
      <c r="C20" s="49" t="s">
        <v>227</v>
      </c>
      <c r="D20" s="49" t="s">
        <v>231</v>
      </c>
      <c r="E20" s="49" t="s">
        <v>232</v>
      </c>
      <c r="F20" s="49"/>
      <c r="G20" s="49" t="s">
        <v>35</v>
      </c>
      <c r="H20" s="50">
        <v>4000</v>
      </c>
      <c r="I20" s="55">
        <v>600</v>
      </c>
      <c r="J20" s="49" t="s">
        <v>36</v>
      </c>
      <c r="K20" s="49" t="s">
        <v>536</v>
      </c>
    </row>
    <row r="21" spans="1:17" ht="15.75" customHeight="1">
      <c r="A21" s="49">
        <v>5</v>
      </c>
      <c r="B21" s="49" t="s">
        <v>1106</v>
      </c>
      <c r="C21" s="49" t="s">
        <v>227</v>
      </c>
      <c r="D21" s="49" t="s">
        <v>1030</v>
      </c>
      <c r="E21" s="49" t="s">
        <v>251</v>
      </c>
      <c r="F21" s="49"/>
      <c r="G21" s="49" t="s">
        <v>35</v>
      </c>
      <c r="H21" s="50">
        <v>1000</v>
      </c>
      <c r="I21" s="55"/>
      <c r="J21" s="49" t="s">
        <v>43</v>
      </c>
      <c r="K21" s="49" t="s">
        <v>536</v>
      </c>
    </row>
    <row r="22" spans="1:17" ht="15.75" customHeight="1">
      <c r="A22" s="49">
        <v>6</v>
      </c>
      <c r="B22" s="49" t="s">
        <v>1431</v>
      </c>
      <c r="C22" s="49" t="s">
        <v>227</v>
      </c>
      <c r="D22" s="49" t="s">
        <v>237</v>
      </c>
      <c r="E22" s="49" t="s">
        <v>184</v>
      </c>
      <c r="F22" s="49"/>
      <c r="G22" s="49" t="s">
        <v>35</v>
      </c>
      <c r="H22" s="49">
        <v>500</v>
      </c>
      <c r="I22" s="55">
        <v>75</v>
      </c>
      <c r="J22" s="49" t="s">
        <v>36</v>
      </c>
      <c r="K22" s="49" t="s">
        <v>536</v>
      </c>
    </row>
    <row r="23" spans="1:17" ht="15.75" customHeight="1">
      <c r="A23" s="49">
        <v>6</v>
      </c>
      <c r="B23" s="49" t="s">
        <v>1432</v>
      </c>
      <c r="C23" s="49" t="s">
        <v>227</v>
      </c>
      <c r="D23" s="49" t="s">
        <v>819</v>
      </c>
      <c r="E23" s="49" t="s">
        <v>248</v>
      </c>
      <c r="F23" s="49"/>
      <c r="G23" s="49" t="s">
        <v>35</v>
      </c>
      <c r="H23" s="50">
        <v>5000</v>
      </c>
      <c r="I23" s="55">
        <v>750</v>
      </c>
      <c r="J23" s="49" t="s">
        <v>36</v>
      </c>
      <c r="K23" s="49" t="s">
        <v>536</v>
      </c>
    </row>
    <row r="24" spans="1:17" ht="15.75" customHeight="1">
      <c r="A24" s="49">
        <v>7</v>
      </c>
      <c r="B24" s="49" t="s">
        <v>1433</v>
      </c>
      <c r="C24" s="49" t="s">
        <v>227</v>
      </c>
      <c r="D24" s="49" t="s">
        <v>564</v>
      </c>
      <c r="E24" s="49" t="s">
        <v>507</v>
      </c>
      <c r="F24" s="49"/>
      <c r="G24" s="49" t="s">
        <v>35</v>
      </c>
      <c r="H24" s="50">
        <v>1000</v>
      </c>
      <c r="I24" s="55">
        <v>150</v>
      </c>
      <c r="J24" s="49" t="s">
        <v>36</v>
      </c>
      <c r="K24" s="49" t="s">
        <v>536</v>
      </c>
    </row>
    <row r="25" spans="1:17" ht="15.75" customHeight="1">
      <c r="A25" s="49">
        <v>7</v>
      </c>
      <c r="B25" s="49" t="s">
        <v>1434</v>
      </c>
      <c r="C25" s="49" t="s">
        <v>227</v>
      </c>
      <c r="D25" s="49" t="s">
        <v>611</v>
      </c>
      <c r="E25" s="49" t="s">
        <v>48</v>
      </c>
      <c r="F25" s="49"/>
      <c r="G25" s="49" t="s">
        <v>35</v>
      </c>
      <c r="H25" s="49">
        <v>100</v>
      </c>
      <c r="I25" s="55">
        <v>15</v>
      </c>
      <c r="J25" s="49" t="s">
        <v>36</v>
      </c>
      <c r="K25" s="49" t="s">
        <v>536</v>
      </c>
    </row>
    <row r="26" spans="1:17" ht="15.75" customHeight="1">
      <c r="A26" s="49">
        <v>7</v>
      </c>
      <c r="B26" s="49" t="s">
        <v>1435</v>
      </c>
      <c r="C26" s="49" t="s">
        <v>227</v>
      </c>
      <c r="D26" s="49" t="s">
        <v>522</v>
      </c>
      <c r="E26" s="49" t="s">
        <v>307</v>
      </c>
      <c r="F26" s="49"/>
      <c r="G26" s="49" t="s">
        <v>35</v>
      </c>
      <c r="H26" s="49">
        <v>500</v>
      </c>
      <c r="I26" s="55">
        <v>75</v>
      </c>
      <c r="J26" s="49" t="s">
        <v>36</v>
      </c>
      <c r="K26" s="49" t="s">
        <v>536</v>
      </c>
    </row>
    <row r="27" spans="1:17" ht="15.75" customHeight="1">
      <c r="A27" s="49">
        <v>7</v>
      </c>
      <c r="B27" s="49" t="s">
        <v>1436</v>
      </c>
      <c r="C27" s="49" t="s">
        <v>227</v>
      </c>
      <c r="D27" s="49" t="s">
        <v>1437</v>
      </c>
      <c r="E27" s="49" t="s">
        <v>507</v>
      </c>
      <c r="F27" s="49"/>
      <c r="G27" s="49" t="s">
        <v>35</v>
      </c>
      <c r="H27" s="50">
        <v>2000</v>
      </c>
      <c r="I27" s="55">
        <v>300</v>
      </c>
      <c r="J27" s="49" t="s">
        <v>36</v>
      </c>
      <c r="K27" s="49" t="s">
        <v>536</v>
      </c>
      <c r="Q27" s="4"/>
    </row>
    <row r="28" spans="1:17" ht="15.75" customHeight="1">
      <c r="A28" s="49">
        <v>7</v>
      </c>
      <c r="B28" s="49" t="s">
        <v>1438</v>
      </c>
      <c r="C28" s="49" t="s">
        <v>227</v>
      </c>
      <c r="D28" s="49" t="s">
        <v>1439</v>
      </c>
      <c r="E28" s="49" t="s">
        <v>232</v>
      </c>
      <c r="F28" s="49"/>
      <c r="G28" s="49" t="s">
        <v>242</v>
      </c>
      <c r="H28" s="49">
        <v>20</v>
      </c>
      <c r="I28" s="55">
        <v>60</v>
      </c>
      <c r="J28" s="49" t="s">
        <v>36</v>
      </c>
      <c r="K28" s="49" t="s">
        <v>536</v>
      </c>
    </row>
    <row r="29" spans="1:17" ht="15.75" customHeight="1">
      <c r="A29" s="49">
        <v>8</v>
      </c>
      <c r="B29" s="49" t="s">
        <v>1440</v>
      </c>
      <c r="C29" s="49" t="s">
        <v>246</v>
      </c>
      <c r="D29" s="49" t="s">
        <v>1441</v>
      </c>
      <c r="E29" s="49" t="s">
        <v>193</v>
      </c>
      <c r="F29" s="49"/>
      <c r="G29" s="49" t="s">
        <v>35</v>
      </c>
      <c r="H29" s="50">
        <v>6000</v>
      </c>
      <c r="I29" s="55">
        <v>900</v>
      </c>
      <c r="J29" s="49" t="s">
        <v>36</v>
      </c>
      <c r="K29" s="49" t="s">
        <v>536</v>
      </c>
      <c r="O29" s="4"/>
      <c r="Q29" s="4"/>
    </row>
    <row r="30" spans="1:17" ht="15.75" customHeight="1">
      <c r="A30" s="49">
        <v>8</v>
      </c>
      <c r="B30" s="49" t="s">
        <v>1442</v>
      </c>
      <c r="C30" s="49" t="s">
        <v>227</v>
      </c>
      <c r="D30" s="49" t="s">
        <v>33</v>
      </c>
      <c r="E30" s="49" t="s">
        <v>251</v>
      </c>
      <c r="F30" s="49"/>
      <c r="G30" s="49" t="s">
        <v>35</v>
      </c>
      <c r="H30" s="49">
        <v>100</v>
      </c>
      <c r="I30" s="55">
        <v>15</v>
      </c>
      <c r="J30" s="49" t="s">
        <v>36</v>
      </c>
      <c r="K30" s="49" t="s">
        <v>536</v>
      </c>
    </row>
    <row r="31" spans="1:17" ht="15.75" customHeight="1">
      <c r="A31" s="49">
        <v>8</v>
      </c>
      <c r="B31" s="49" t="s">
        <v>1384</v>
      </c>
      <c r="C31" s="49" t="s">
        <v>227</v>
      </c>
      <c r="D31" s="49" t="s">
        <v>1190</v>
      </c>
      <c r="E31" s="49" t="s">
        <v>241</v>
      </c>
      <c r="F31" s="49"/>
      <c r="G31" s="49" t="s">
        <v>35</v>
      </c>
      <c r="H31" s="50">
        <v>2000</v>
      </c>
      <c r="I31" s="55">
        <v>400</v>
      </c>
      <c r="J31" s="49" t="s">
        <v>36</v>
      </c>
      <c r="K31" s="49" t="s">
        <v>536</v>
      </c>
    </row>
    <row r="32" spans="1:17" ht="15.75" customHeight="1">
      <c r="A32" s="49">
        <v>8</v>
      </c>
      <c r="B32" s="49" t="s">
        <v>835</v>
      </c>
      <c r="C32" s="49" t="s">
        <v>227</v>
      </c>
      <c r="D32" s="49" t="s">
        <v>772</v>
      </c>
      <c r="E32" s="49" t="s">
        <v>232</v>
      </c>
      <c r="F32" s="49"/>
      <c r="G32" s="49" t="s">
        <v>35</v>
      </c>
      <c r="H32" s="49">
        <v>500</v>
      </c>
      <c r="I32" s="55">
        <v>75</v>
      </c>
      <c r="J32" s="49" t="s">
        <v>36</v>
      </c>
      <c r="K32" s="49" t="s">
        <v>536</v>
      </c>
    </row>
    <row r="33" spans="1:16" ht="15.75" customHeight="1">
      <c r="A33" s="49">
        <v>8</v>
      </c>
      <c r="B33" s="49" t="s">
        <v>1443</v>
      </c>
      <c r="C33" s="49" t="s">
        <v>227</v>
      </c>
      <c r="D33" s="49" t="s">
        <v>556</v>
      </c>
      <c r="E33" s="49" t="s">
        <v>232</v>
      </c>
      <c r="F33" s="49"/>
      <c r="G33" s="49" t="s">
        <v>35</v>
      </c>
      <c r="H33" s="50">
        <v>4500</v>
      </c>
      <c r="I33" s="55">
        <v>675</v>
      </c>
      <c r="J33" s="49" t="s">
        <v>36</v>
      </c>
      <c r="K33" s="49" t="s">
        <v>536</v>
      </c>
    </row>
    <row r="34" spans="1:16" ht="15.75" customHeight="1">
      <c r="A34" s="49">
        <v>8</v>
      </c>
      <c r="B34" s="49" t="s">
        <v>1443</v>
      </c>
      <c r="C34" s="49" t="s">
        <v>227</v>
      </c>
      <c r="D34" s="49" t="s">
        <v>556</v>
      </c>
      <c r="E34" s="49" t="s">
        <v>232</v>
      </c>
      <c r="F34" s="49"/>
      <c r="G34" s="49" t="s">
        <v>35</v>
      </c>
      <c r="H34" s="49">
        <v>500</v>
      </c>
      <c r="I34" s="55"/>
      <c r="J34" s="49" t="s">
        <v>43</v>
      </c>
      <c r="K34" s="49" t="s">
        <v>536</v>
      </c>
    </row>
    <row r="35" spans="1:16" ht="15.75" customHeight="1">
      <c r="A35" s="49">
        <v>9</v>
      </c>
      <c r="B35" s="49" t="s">
        <v>1444</v>
      </c>
      <c r="C35" s="49" t="s">
        <v>227</v>
      </c>
      <c r="D35" s="49" t="s">
        <v>1101</v>
      </c>
      <c r="E35" s="49" t="s">
        <v>241</v>
      </c>
      <c r="F35" s="49"/>
      <c r="G35" s="49" t="s">
        <v>35</v>
      </c>
      <c r="H35" s="49">
        <v>500</v>
      </c>
      <c r="I35" s="55">
        <v>75</v>
      </c>
      <c r="J35" s="49" t="s">
        <v>36</v>
      </c>
      <c r="K35" s="49" t="s">
        <v>536</v>
      </c>
    </row>
    <row r="36" spans="1:16" ht="15.75" customHeight="1">
      <c r="A36" s="49">
        <v>9</v>
      </c>
      <c r="B36" s="49" t="s">
        <v>1445</v>
      </c>
      <c r="C36" s="49" t="s">
        <v>246</v>
      </c>
      <c r="D36" s="49" t="s">
        <v>1237</v>
      </c>
      <c r="E36" s="49" t="s">
        <v>1446</v>
      </c>
      <c r="F36" s="49"/>
      <c r="G36" s="49" t="s">
        <v>35</v>
      </c>
      <c r="H36" s="49">
        <v>200</v>
      </c>
      <c r="I36" s="55">
        <v>30</v>
      </c>
      <c r="J36" s="49" t="s">
        <v>36</v>
      </c>
      <c r="K36" s="49" t="s">
        <v>536</v>
      </c>
    </row>
    <row r="37" spans="1:16" ht="15.75" customHeight="1">
      <c r="A37" s="49">
        <v>9</v>
      </c>
      <c r="B37" s="49" t="s">
        <v>1447</v>
      </c>
      <c r="C37" s="49" t="s">
        <v>227</v>
      </c>
      <c r="D37" s="49" t="s">
        <v>385</v>
      </c>
      <c r="E37" s="49" t="s">
        <v>232</v>
      </c>
      <c r="F37" s="49"/>
      <c r="G37" s="49" t="s">
        <v>35</v>
      </c>
      <c r="H37" s="50">
        <v>2000</v>
      </c>
      <c r="I37" s="55">
        <v>300</v>
      </c>
      <c r="J37" s="49" t="s">
        <v>36</v>
      </c>
      <c r="K37" s="49" t="s">
        <v>536</v>
      </c>
    </row>
    <row r="38" spans="1:16" ht="15.75" customHeight="1">
      <c r="A38" s="49">
        <v>9</v>
      </c>
      <c r="B38" s="49" t="s">
        <v>1448</v>
      </c>
      <c r="C38" s="49" t="s">
        <v>227</v>
      </c>
      <c r="D38" s="49" t="s">
        <v>385</v>
      </c>
      <c r="E38" s="49" t="s">
        <v>307</v>
      </c>
      <c r="F38" s="49"/>
      <c r="G38" s="49" t="s">
        <v>35</v>
      </c>
      <c r="H38" s="50">
        <v>3000</v>
      </c>
      <c r="I38" s="55">
        <v>450</v>
      </c>
      <c r="J38" s="49" t="s">
        <v>36</v>
      </c>
      <c r="K38" s="49" t="s">
        <v>536</v>
      </c>
    </row>
    <row r="39" spans="1:16" ht="15.75" customHeight="1">
      <c r="A39" s="49">
        <v>9</v>
      </c>
      <c r="B39" s="49" t="s">
        <v>1449</v>
      </c>
      <c r="C39" s="49" t="s">
        <v>246</v>
      </c>
      <c r="D39" s="49" t="s">
        <v>33</v>
      </c>
      <c r="E39" s="49" t="s">
        <v>41</v>
      </c>
      <c r="F39" s="49"/>
      <c r="G39" s="49" t="s">
        <v>35</v>
      </c>
      <c r="H39" s="49">
        <v>500</v>
      </c>
      <c r="I39" s="55">
        <v>75</v>
      </c>
      <c r="J39" s="49" t="s">
        <v>36</v>
      </c>
      <c r="K39" s="49" t="s">
        <v>536</v>
      </c>
    </row>
    <row r="40" spans="1:16" ht="15.75" customHeight="1">
      <c r="A40" s="49">
        <v>9</v>
      </c>
      <c r="B40" s="49" t="s">
        <v>1450</v>
      </c>
      <c r="C40" s="49" t="s">
        <v>246</v>
      </c>
      <c r="D40" s="49" t="s">
        <v>290</v>
      </c>
      <c r="E40" s="49" t="s">
        <v>232</v>
      </c>
      <c r="F40" s="49"/>
      <c r="G40" s="49" t="s">
        <v>35</v>
      </c>
      <c r="H40" s="50">
        <v>1200</v>
      </c>
      <c r="I40" s="55">
        <v>180</v>
      </c>
      <c r="J40" s="49" t="s">
        <v>36</v>
      </c>
      <c r="K40" s="49" t="s">
        <v>536</v>
      </c>
    </row>
    <row r="41" spans="1:16" ht="15.75" customHeight="1">
      <c r="A41" s="49">
        <v>9</v>
      </c>
      <c r="B41" s="49" t="s">
        <v>1451</v>
      </c>
      <c r="C41" s="49" t="s">
        <v>246</v>
      </c>
      <c r="D41" s="49" t="s">
        <v>1338</v>
      </c>
      <c r="E41" s="49" t="s">
        <v>51</v>
      </c>
      <c r="F41" s="49"/>
      <c r="G41" s="49" t="s">
        <v>242</v>
      </c>
      <c r="H41" s="49">
        <v>30</v>
      </c>
      <c r="I41" s="55">
        <v>90</v>
      </c>
      <c r="J41" s="49" t="s">
        <v>36</v>
      </c>
      <c r="K41" s="49" t="s">
        <v>536</v>
      </c>
    </row>
    <row r="42" spans="1:16" ht="15.75" customHeight="1">
      <c r="A42" s="49">
        <v>9</v>
      </c>
      <c r="B42" s="49" t="s">
        <v>1452</v>
      </c>
      <c r="C42" s="49" t="s">
        <v>227</v>
      </c>
      <c r="D42" s="49" t="s">
        <v>258</v>
      </c>
      <c r="E42" s="49" t="s">
        <v>251</v>
      </c>
      <c r="F42" s="49"/>
      <c r="G42" s="49" t="s">
        <v>35</v>
      </c>
      <c r="H42" s="50">
        <v>1000</v>
      </c>
      <c r="I42" s="55">
        <v>150</v>
      </c>
      <c r="J42" s="49" t="s">
        <v>36</v>
      </c>
      <c r="K42" s="49" t="s">
        <v>536</v>
      </c>
    </row>
    <row r="43" spans="1:16" ht="15.75" customHeight="1">
      <c r="A43" s="49">
        <v>9</v>
      </c>
      <c r="B43" s="49" t="s">
        <v>1453</v>
      </c>
      <c r="C43" s="49" t="s">
        <v>227</v>
      </c>
      <c r="D43" s="49" t="s">
        <v>1249</v>
      </c>
      <c r="E43" s="49" t="s">
        <v>251</v>
      </c>
      <c r="F43" s="49"/>
      <c r="G43" s="49" t="s">
        <v>242</v>
      </c>
      <c r="H43" s="49">
        <v>40</v>
      </c>
      <c r="I43" s="55">
        <v>120</v>
      </c>
      <c r="J43" s="49" t="s">
        <v>36</v>
      </c>
      <c r="K43" s="49" t="s">
        <v>536</v>
      </c>
    </row>
    <row r="44" spans="1:16" ht="15.75" customHeight="1">
      <c r="A44" s="49">
        <v>9</v>
      </c>
      <c r="B44" s="49" t="s">
        <v>1454</v>
      </c>
      <c r="C44" s="49" t="s">
        <v>227</v>
      </c>
      <c r="D44" s="49" t="s">
        <v>649</v>
      </c>
      <c r="E44" s="49" t="s">
        <v>232</v>
      </c>
      <c r="F44" s="49"/>
      <c r="G44" s="49" t="s">
        <v>35</v>
      </c>
      <c r="H44" s="50">
        <v>1000</v>
      </c>
      <c r="I44" s="55">
        <v>150</v>
      </c>
      <c r="J44" s="49" t="s">
        <v>36</v>
      </c>
      <c r="K44" s="49" t="s">
        <v>536</v>
      </c>
    </row>
    <row r="45" spans="1:16" ht="15.75" customHeight="1">
      <c r="A45" s="49">
        <v>9</v>
      </c>
      <c r="B45" s="49" t="s">
        <v>1454</v>
      </c>
      <c r="C45" s="49" t="s">
        <v>227</v>
      </c>
      <c r="D45" s="49" t="s">
        <v>649</v>
      </c>
      <c r="E45" s="49" t="s">
        <v>232</v>
      </c>
      <c r="F45" s="49"/>
      <c r="G45" s="49" t="s">
        <v>35</v>
      </c>
      <c r="H45" s="49">
        <v>500</v>
      </c>
      <c r="I45" s="55"/>
      <c r="J45" s="49" t="s">
        <v>43</v>
      </c>
      <c r="K45" s="49" t="s">
        <v>536</v>
      </c>
    </row>
    <row r="46" spans="1:16" ht="15.75" customHeight="1">
      <c r="A46" s="49">
        <v>9</v>
      </c>
      <c r="B46" s="49" t="s">
        <v>1455</v>
      </c>
      <c r="C46" s="49" t="s">
        <v>227</v>
      </c>
      <c r="D46" s="49" t="s">
        <v>649</v>
      </c>
      <c r="E46" s="49" t="s">
        <v>232</v>
      </c>
      <c r="F46" s="49"/>
      <c r="G46" s="49" t="s">
        <v>35</v>
      </c>
      <c r="H46" s="49">
        <v>500</v>
      </c>
      <c r="I46" s="55"/>
      <c r="J46" s="49" t="s">
        <v>43</v>
      </c>
      <c r="K46" s="49" t="s">
        <v>536</v>
      </c>
    </row>
    <row r="47" spans="1:16" ht="15.75" customHeight="1">
      <c r="A47" s="49">
        <v>9</v>
      </c>
      <c r="B47" s="49" t="s">
        <v>1456</v>
      </c>
      <c r="C47" s="49" t="s">
        <v>227</v>
      </c>
      <c r="D47" s="49" t="s">
        <v>277</v>
      </c>
      <c r="E47" s="49" t="s">
        <v>232</v>
      </c>
      <c r="F47" s="49"/>
      <c r="G47" s="49" t="s">
        <v>35</v>
      </c>
      <c r="H47" s="49">
        <v>500</v>
      </c>
      <c r="I47" s="55"/>
      <c r="J47" s="49" t="s">
        <v>43</v>
      </c>
      <c r="K47" s="49" t="s">
        <v>536</v>
      </c>
    </row>
    <row r="48" spans="1:16" ht="15.75" customHeight="1">
      <c r="A48" s="49">
        <v>10</v>
      </c>
      <c r="B48" s="49" t="s">
        <v>1457</v>
      </c>
      <c r="C48" s="49" t="s">
        <v>227</v>
      </c>
      <c r="D48" s="49" t="s">
        <v>736</v>
      </c>
      <c r="E48" s="49" t="s">
        <v>232</v>
      </c>
      <c r="F48" s="49"/>
      <c r="G48" s="49" t="s">
        <v>35</v>
      </c>
      <c r="H48" s="49">
        <v>100</v>
      </c>
      <c r="I48" s="55">
        <v>15</v>
      </c>
      <c r="J48" s="49" t="s">
        <v>36</v>
      </c>
      <c r="K48" s="49" t="s">
        <v>536</v>
      </c>
      <c r="L48" s="1"/>
      <c r="O48" s="1"/>
      <c r="P48" s="1"/>
    </row>
    <row r="49" spans="1:17" ht="15.75" customHeight="1">
      <c r="A49" s="49">
        <v>10</v>
      </c>
      <c r="B49" s="49" t="s">
        <v>1458</v>
      </c>
      <c r="C49" s="49" t="s">
        <v>227</v>
      </c>
      <c r="D49" s="49" t="s">
        <v>705</v>
      </c>
      <c r="E49" s="49" t="s">
        <v>302</v>
      </c>
      <c r="F49" s="49"/>
      <c r="G49" s="49" t="s">
        <v>35</v>
      </c>
      <c r="H49" s="50">
        <v>3000</v>
      </c>
      <c r="I49" s="55">
        <v>450</v>
      </c>
      <c r="J49" s="49" t="s">
        <v>36</v>
      </c>
      <c r="K49" s="49" t="s">
        <v>536</v>
      </c>
      <c r="L49" s="1"/>
      <c r="O49" s="1"/>
      <c r="P49" s="1"/>
    </row>
    <row r="50" spans="1:17" ht="15.75" customHeight="1">
      <c r="A50" s="49">
        <v>10</v>
      </c>
      <c r="B50" s="49" t="s">
        <v>563</v>
      </c>
      <c r="C50" s="49" t="s">
        <v>227</v>
      </c>
      <c r="D50" s="49" t="s">
        <v>564</v>
      </c>
      <c r="E50" s="49" t="s">
        <v>507</v>
      </c>
      <c r="F50" s="49"/>
      <c r="G50" s="49" t="s">
        <v>35</v>
      </c>
      <c r="H50" s="50">
        <v>2500</v>
      </c>
      <c r="I50" s="55">
        <v>375</v>
      </c>
      <c r="J50" s="49" t="s">
        <v>36</v>
      </c>
      <c r="K50" s="49" t="s">
        <v>536</v>
      </c>
      <c r="L50" s="1"/>
      <c r="O50" s="1"/>
      <c r="P50" s="1"/>
    </row>
    <row r="51" spans="1:17" ht="15.75" customHeight="1">
      <c r="A51" s="49">
        <v>10</v>
      </c>
      <c r="B51" s="49" t="s">
        <v>638</v>
      </c>
      <c r="C51" s="49" t="s">
        <v>227</v>
      </c>
      <c r="D51" s="49" t="s">
        <v>290</v>
      </c>
      <c r="E51" s="49" t="s">
        <v>232</v>
      </c>
      <c r="F51" s="49"/>
      <c r="G51" s="49" t="s">
        <v>35</v>
      </c>
      <c r="H51" s="50">
        <v>1000</v>
      </c>
      <c r="I51" s="55">
        <v>150</v>
      </c>
      <c r="J51" s="49" t="s">
        <v>36</v>
      </c>
      <c r="K51" s="49" t="s">
        <v>536</v>
      </c>
      <c r="L51" s="1"/>
      <c r="O51" s="1"/>
      <c r="P51" s="1"/>
    </row>
    <row r="52" spans="1:17" ht="15.75" customHeight="1">
      <c r="A52" s="49">
        <v>10</v>
      </c>
      <c r="B52" s="49" t="s">
        <v>1459</v>
      </c>
      <c r="C52" s="49" t="s">
        <v>227</v>
      </c>
      <c r="D52" s="49" t="s">
        <v>234</v>
      </c>
      <c r="E52" s="49" t="s">
        <v>235</v>
      </c>
      <c r="F52" s="49"/>
      <c r="G52" s="49" t="s">
        <v>35</v>
      </c>
      <c r="H52" s="50">
        <v>2000</v>
      </c>
      <c r="I52" s="55">
        <v>300</v>
      </c>
      <c r="J52" s="49" t="s">
        <v>36</v>
      </c>
      <c r="K52" s="49" t="s">
        <v>536</v>
      </c>
      <c r="L52" s="1"/>
      <c r="O52" s="1"/>
      <c r="P52" s="1"/>
    </row>
    <row r="53" spans="1:17" ht="15.75" customHeight="1">
      <c r="A53" s="49">
        <v>10</v>
      </c>
      <c r="B53" s="49" t="s">
        <v>650</v>
      </c>
      <c r="C53" s="49" t="s">
        <v>227</v>
      </c>
      <c r="D53" s="49" t="s">
        <v>234</v>
      </c>
      <c r="E53" s="49" t="s">
        <v>235</v>
      </c>
      <c r="F53" s="49"/>
      <c r="G53" s="49" t="s">
        <v>35</v>
      </c>
      <c r="H53" s="50">
        <v>3000</v>
      </c>
      <c r="I53" s="55">
        <v>450</v>
      </c>
      <c r="J53" s="49" t="s">
        <v>36</v>
      </c>
      <c r="K53" s="49" t="s">
        <v>536</v>
      </c>
      <c r="L53" s="4"/>
      <c r="O53" s="1"/>
      <c r="P53" s="4"/>
    </row>
    <row r="54" spans="1:17" ht="15.75" customHeight="1">
      <c r="A54" s="49">
        <v>10</v>
      </c>
      <c r="B54" s="49" t="s">
        <v>1460</v>
      </c>
      <c r="C54" s="49" t="s">
        <v>227</v>
      </c>
      <c r="D54" s="49" t="s">
        <v>679</v>
      </c>
      <c r="E54" s="49" t="s">
        <v>232</v>
      </c>
      <c r="F54" s="49"/>
      <c r="G54" s="49" t="s">
        <v>35</v>
      </c>
      <c r="H54" s="50">
        <v>1000</v>
      </c>
      <c r="I54" s="55">
        <v>150</v>
      </c>
      <c r="J54" s="49" t="s">
        <v>36</v>
      </c>
      <c r="K54" s="49" t="s">
        <v>536</v>
      </c>
      <c r="L54" s="1"/>
      <c r="O54" s="1"/>
      <c r="P54" s="1"/>
    </row>
    <row r="55" spans="1:17" ht="15.75" customHeight="1">
      <c r="A55" s="49">
        <v>10</v>
      </c>
      <c r="B55" s="49" t="s">
        <v>1461</v>
      </c>
      <c r="C55" s="49" t="s">
        <v>227</v>
      </c>
      <c r="D55" s="49" t="s">
        <v>290</v>
      </c>
      <c r="E55" s="49" t="s">
        <v>232</v>
      </c>
      <c r="F55" s="49"/>
      <c r="G55" s="49" t="s">
        <v>35</v>
      </c>
      <c r="H55" s="50">
        <v>1600</v>
      </c>
      <c r="I55" s="55">
        <v>240</v>
      </c>
      <c r="J55" s="49" t="s">
        <v>36</v>
      </c>
      <c r="K55" s="49" t="s">
        <v>536</v>
      </c>
      <c r="L55" s="1"/>
      <c r="O55" s="1"/>
      <c r="P55" s="1"/>
    </row>
    <row r="56" spans="1:17" ht="15.75" customHeight="1">
      <c r="A56" s="49">
        <v>10</v>
      </c>
      <c r="B56" s="49" t="s">
        <v>1462</v>
      </c>
      <c r="C56" s="49" t="s">
        <v>227</v>
      </c>
      <c r="D56" s="49" t="s">
        <v>32</v>
      </c>
      <c r="E56" s="49" t="s">
        <v>193</v>
      </c>
      <c r="F56" s="49"/>
      <c r="G56" s="49" t="s">
        <v>35</v>
      </c>
      <c r="H56" s="50">
        <v>6000</v>
      </c>
      <c r="I56" s="55">
        <v>900</v>
      </c>
      <c r="J56" s="49" t="s">
        <v>36</v>
      </c>
      <c r="K56" s="49" t="s">
        <v>536</v>
      </c>
      <c r="L56" s="4"/>
      <c r="O56" s="1"/>
      <c r="Q56" s="4"/>
    </row>
    <row r="57" spans="1:17" ht="15.75" customHeight="1">
      <c r="A57" s="49">
        <v>10</v>
      </c>
      <c r="B57" s="49" t="s">
        <v>1463</v>
      </c>
      <c r="C57" s="49" t="s">
        <v>227</v>
      </c>
      <c r="D57" s="49" t="s">
        <v>32</v>
      </c>
      <c r="E57" s="49" t="s">
        <v>507</v>
      </c>
      <c r="F57" s="49"/>
      <c r="G57" s="49" t="s">
        <v>35</v>
      </c>
      <c r="H57" s="50">
        <v>2000</v>
      </c>
      <c r="I57" s="55">
        <v>300</v>
      </c>
      <c r="J57" s="49" t="s">
        <v>36</v>
      </c>
      <c r="K57" s="49" t="s">
        <v>536</v>
      </c>
      <c r="L57" s="1"/>
      <c r="O57" s="1"/>
      <c r="P57" s="1"/>
    </row>
    <row r="58" spans="1:17" ht="15.75" customHeight="1">
      <c r="A58" s="49">
        <v>10</v>
      </c>
      <c r="B58" s="49" t="s">
        <v>1463</v>
      </c>
      <c r="C58" s="49" t="s">
        <v>227</v>
      </c>
      <c r="D58" s="49" t="s">
        <v>32</v>
      </c>
      <c r="E58" s="49" t="s">
        <v>507</v>
      </c>
      <c r="F58" s="49"/>
      <c r="G58" s="49" t="s">
        <v>35</v>
      </c>
      <c r="H58" s="49">
        <v>500</v>
      </c>
      <c r="I58" s="55"/>
      <c r="J58" s="49" t="s">
        <v>43</v>
      </c>
      <c r="K58" s="49" t="s">
        <v>536</v>
      </c>
      <c r="L58" s="1"/>
      <c r="O58" s="1"/>
      <c r="P58" s="1"/>
    </row>
    <row r="59" spans="1:17" ht="15.75" customHeight="1">
      <c r="A59" s="49">
        <v>11</v>
      </c>
      <c r="B59" s="49" t="s">
        <v>542</v>
      </c>
      <c r="C59" s="49" t="s">
        <v>227</v>
      </c>
      <c r="D59" s="49" t="s">
        <v>354</v>
      </c>
      <c r="E59" s="49" t="s">
        <v>251</v>
      </c>
      <c r="F59" s="49"/>
      <c r="G59" s="49" t="s">
        <v>35</v>
      </c>
      <c r="H59" s="50">
        <v>1500</v>
      </c>
      <c r="I59" s="55">
        <v>225</v>
      </c>
      <c r="J59" s="49" t="s">
        <v>36</v>
      </c>
      <c r="K59" s="49" t="s">
        <v>536</v>
      </c>
      <c r="L59" s="1"/>
      <c r="O59" s="1"/>
      <c r="P59" s="1"/>
    </row>
    <row r="60" spans="1:17" ht="15.75" customHeight="1">
      <c r="A60" s="49">
        <v>11</v>
      </c>
      <c r="B60" s="49" t="s">
        <v>1464</v>
      </c>
      <c r="C60" s="49" t="s">
        <v>246</v>
      </c>
      <c r="D60" s="49" t="s">
        <v>1465</v>
      </c>
      <c r="E60" s="49" t="s">
        <v>232</v>
      </c>
      <c r="F60" s="49"/>
      <c r="G60" s="49" t="s">
        <v>35</v>
      </c>
      <c r="H60" s="49">
        <v>300</v>
      </c>
      <c r="I60" s="55">
        <v>45</v>
      </c>
      <c r="J60" s="49" t="s">
        <v>36</v>
      </c>
      <c r="K60" s="49" t="s">
        <v>536</v>
      </c>
      <c r="L60" s="1"/>
      <c r="O60" s="1"/>
      <c r="P60" s="1"/>
    </row>
    <row r="61" spans="1:17" ht="15.75" customHeight="1">
      <c r="A61" s="49">
        <v>11</v>
      </c>
      <c r="B61" s="49" t="s">
        <v>1466</v>
      </c>
      <c r="C61" s="49" t="s">
        <v>227</v>
      </c>
      <c r="D61" s="49" t="s">
        <v>297</v>
      </c>
      <c r="E61" s="49" t="s">
        <v>51</v>
      </c>
      <c r="F61" s="49"/>
      <c r="G61" s="49" t="s">
        <v>35</v>
      </c>
      <c r="H61" s="50">
        <v>1500</v>
      </c>
      <c r="I61" s="55">
        <v>225</v>
      </c>
      <c r="J61" s="49" t="s">
        <v>36</v>
      </c>
      <c r="K61" s="49" t="s">
        <v>536</v>
      </c>
      <c r="L61" s="1"/>
      <c r="O61" s="1"/>
      <c r="P61" s="1"/>
    </row>
    <row r="62" spans="1:17" ht="15.75" customHeight="1">
      <c r="A62" s="49">
        <v>12</v>
      </c>
      <c r="B62" s="49" t="s">
        <v>1467</v>
      </c>
      <c r="C62" s="49" t="s">
        <v>227</v>
      </c>
      <c r="D62" s="49" t="s">
        <v>1112</v>
      </c>
      <c r="E62" s="49" t="s">
        <v>199</v>
      </c>
      <c r="F62" s="49"/>
      <c r="G62" s="49" t="s">
        <v>35</v>
      </c>
      <c r="H62" s="50">
        <v>2000</v>
      </c>
      <c r="I62" s="55">
        <v>300</v>
      </c>
      <c r="J62" s="49" t="s">
        <v>36</v>
      </c>
      <c r="K62" s="49" t="s">
        <v>536</v>
      </c>
      <c r="L62" s="1"/>
      <c r="O62" s="1"/>
      <c r="P62" s="1"/>
    </row>
    <row r="63" spans="1:17" ht="15.75" customHeight="1">
      <c r="A63" s="49">
        <v>12</v>
      </c>
      <c r="B63" s="49" t="s">
        <v>1468</v>
      </c>
      <c r="C63" s="49" t="s">
        <v>227</v>
      </c>
      <c r="D63" s="49" t="s">
        <v>407</v>
      </c>
      <c r="E63" s="49" t="s">
        <v>164</v>
      </c>
      <c r="F63" s="49"/>
      <c r="G63" s="49" t="s">
        <v>35</v>
      </c>
      <c r="H63" s="50">
        <v>1000</v>
      </c>
      <c r="I63" s="55">
        <v>150</v>
      </c>
      <c r="J63" s="49" t="s">
        <v>36</v>
      </c>
      <c r="K63" s="49" t="s">
        <v>536</v>
      </c>
      <c r="L63" s="1"/>
      <c r="O63" s="1"/>
      <c r="P63" s="1"/>
    </row>
    <row r="64" spans="1:17" ht="15.75" customHeight="1">
      <c r="A64" s="49">
        <v>12</v>
      </c>
      <c r="B64" s="49" t="s">
        <v>1469</v>
      </c>
      <c r="C64" s="49" t="s">
        <v>227</v>
      </c>
      <c r="D64" s="49" t="s">
        <v>728</v>
      </c>
      <c r="E64" s="49" t="s">
        <v>184</v>
      </c>
      <c r="F64" s="49"/>
      <c r="G64" s="49" t="s">
        <v>35</v>
      </c>
      <c r="H64" s="50">
        <v>4000</v>
      </c>
      <c r="I64" s="55">
        <v>600</v>
      </c>
      <c r="J64" s="49" t="s">
        <v>36</v>
      </c>
      <c r="K64" s="49" t="s">
        <v>536</v>
      </c>
      <c r="L64" s="1"/>
      <c r="O64" s="1"/>
      <c r="P64" s="1"/>
    </row>
    <row r="65" spans="1:16" ht="15.75" customHeight="1">
      <c r="A65" s="49">
        <v>12</v>
      </c>
      <c r="B65" s="49" t="s">
        <v>1470</v>
      </c>
      <c r="C65" s="49" t="s">
        <v>246</v>
      </c>
      <c r="D65" s="49" t="s">
        <v>1471</v>
      </c>
      <c r="E65" s="49" t="s">
        <v>41</v>
      </c>
      <c r="F65" s="49"/>
      <c r="G65" s="49" t="s">
        <v>35</v>
      </c>
      <c r="H65" s="49">
        <v>200</v>
      </c>
      <c r="I65" s="55">
        <v>30</v>
      </c>
      <c r="J65" s="49" t="s">
        <v>36</v>
      </c>
      <c r="K65" s="49" t="s">
        <v>536</v>
      </c>
      <c r="L65" s="1"/>
      <c r="O65" s="1"/>
      <c r="P65" s="1"/>
    </row>
    <row r="66" spans="1:16" ht="15.75" customHeight="1">
      <c r="A66" s="49">
        <v>12</v>
      </c>
      <c r="B66" s="49" t="s">
        <v>1470</v>
      </c>
      <c r="C66" s="49" t="s">
        <v>246</v>
      </c>
      <c r="D66" s="49" t="s">
        <v>1471</v>
      </c>
      <c r="E66" s="49" t="s">
        <v>41</v>
      </c>
      <c r="F66" s="49"/>
      <c r="G66" s="49" t="s">
        <v>242</v>
      </c>
      <c r="H66" s="49">
        <v>30</v>
      </c>
      <c r="I66" s="55">
        <v>90</v>
      </c>
      <c r="J66" s="49" t="s">
        <v>36</v>
      </c>
      <c r="K66" s="49" t="s">
        <v>536</v>
      </c>
      <c r="L66" s="1"/>
      <c r="O66" s="1"/>
      <c r="P66" s="1"/>
    </row>
    <row r="67" spans="1:16" ht="15.75" customHeight="1">
      <c r="A67" s="49">
        <v>12</v>
      </c>
      <c r="B67" s="49" t="s">
        <v>868</v>
      </c>
      <c r="C67" s="49" t="s">
        <v>227</v>
      </c>
      <c r="D67" s="49" t="s">
        <v>780</v>
      </c>
      <c r="E67" s="49" t="s">
        <v>80</v>
      </c>
      <c r="F67" s="49"/>
      <c r="G67" s="49" t="s">
        <v>35</v>
      </c>
      <c r="H67" s="50">
        <v>20000</v>
      </c>
      <c r="I67" s="55">
        <v>3000</v>
      </c>
      <c r="J67" s="49" t="s">
        <v>36</v>
      </c>
      <c r="K67" s="49" t="s">
        <v>536</v>
      </c>
      <c r="L67" s="1"/>
      <c r="O67" s="4"/>
      <c r="P67" s="1"/>
    </row>
    <row r="68" spans="1:16" ht="15.75" customHeight="1">
      <c r="A68" s="49">
        <v>13</v>
      </c>
      <c r="B68" s="49" t="s">
        <v>1472</v>
      </c>
      <c r="C68" s="49" t="s">
        <v>227</v>
      </c>
      <c r="D68" s="49" t="s">
        <v>277</v>
      </c>
      <c r="E68" s="49" t="s">
        <v>232</v>
      </c>
      <c r="F68" s="49"/>
      <c r="G68" s="49" t="s">
        <v>35</v>
      </c>
      <c r="H68" s="50">
        <v>1000</v>
      </c>
      <c r="I68" s="55">
        <v>150</v>
      </c>
      <c r="J68" s="49" t="s">
        <v>36</v>
      </c>
      <c r="K68" s="49" t="s">
        <v>536</v>
      </c>
      <c r="L68" s="1"/>
      <c r="O68" s="1"/>
      <c r="P68" s="1"/>
    </row>
    <row r="69" spans="1:16" ht="15.75" customHeight="1">
      <c r="A69" s="49">
        <v>13</v>
      </c>
      <c r="B69" s="49" t="s">
        <v>1473</v>
      </c>
      <c r="C69" s="49" t="s">
        <v>227</v>
      </c>
      <c r="D69" s="49" t="s">
        <v>290</v>
      </c>
      <c r="E69" s="49" t="s">
        <v>232</v>
      </c>
      <c r="F69" s="49"/>
      <c r="G69" s="49" t="s">
        <v>35</v>
      </c>
      <c r="H69" s="50">
        <v>3000</v>
      </c>
      <c r="I69" s="55">
        <v>450</v>
      </c>
      <c r="J69" s="49" t="s">
        <v>36</v>
      </c>
      <c r="K69" s="49" t="s">
        <v>536</v>
      </c>
      <c r="L69" s="1"/>
      <c r="O69" s="1"/>
      <c r="P69" s="1"/>
    </row>
    <row r="70" spans="1:16" ht="15.75" customHeight="1">
      <c r="A70" s="49">
        <v>13</v>
      </c>
      <c r="B70" s="49" t="s">
        <v>1474</v>
      </c>
      <c r="C70" s="49" t="s">
        <v>246</v>
      </c>
      <c r="D70" s="49" t="s">
        <v>32</v>
      </c>
      <c r="E70" s="49" t="s">
        <v>164</v>
      </c>
      <c r="F70" s="49"/>
      <c r="G70" s="49" t="s">
        <v>35</v>
      </c>
      <c r="H70" s="49">
        <v>200</v>
      </c>
      <c r="I70" s="55">
        <v>30</v>
      </c>
      <c r="J70" s="49" t="s">
        <v>36</v>
      </c>
      <c r="K70" s="49" t="s">
        <v>536</v>
      </c>
      <c r="L70" s="1"/>
      <c r="O70" s="1"/>
      <c r="P70" s="1"/>
    </row>
    <row r="71" spans="1:16" ht="15.75" customHeight="1">
      <c r="A71" s="49">
        <v>13</v>
      </c>
      <c r="B71" s="49" t="s">
        <v>1475</v>
      </c>
      <c r="C71" s="49" t="s">
        <v>227</v>
      </c>
      <c r="D71" s="49" t="s">
        <v>840</v>
      </c>
      <c r="E71" s="49" t="s">
        <v>41</v>
      </c>
      <c r="F71" s="49"/>
      <c r="G71" s="49" t="s">
        <v>273</v>
      </c>
      <c r="H71" s="49">
        <v>15</v>
      </c>
      <c r="I71" s="55">
        <v>45</v>
      </c>
      <c r="J71" s="49" t="s">
        <v>36</v>
      </c>
      <c r="K71" s="49" t="s">
        <v>536</v>
      </c>
      <c r="L71" s="1"/>
      <c r="O71" s="1"/>
      <c r="P71" s="1"/>
    </row>
    <row r="72" spans="1:16" ht="15.75" customHeight="1">
      <c r="A72" s="49">
        <v>13</v>
      </c>
      <c r="B72" s="49" t="s">
        <v>1476</v>
      </c>
      <c r="C72" s="49" t="s">
        <v>227</v>
      </c>
      <c r="D72" s="49" t="s">
        <v>564</v>
      </c>
      <c r="E72" s="49" t="s">
        <v>507</v>
      </c>
      <c r="F72" s="49"/>
      <c r="G72" s="49" t="s">
        <v>35</v>
      </c>
      <c r="H72" s="49">
        <v>300</v>
      </c>
      <c r="I72" s="49">
        <v>45</v>
      </c>
      <c r="J72" s="49" t="s">
        <v>36</v>
      </c>
      <c r="K72" s="49" t="s">
        <v>536</v>
      </c>
      <c r="L72" s="1"/>
      <c r="O72" s="1"/>
      <c r="P72" s="1"/>
    </row>
    <row r="73" spans="1:16" ht="15.75" customHeight="1">
      <c r="A73" s="49">
        <v>13</v>
      </c>
      <c r="B73" s="49" t="s">
        <v>1477</v>
      </c>
      <c r="C73" s="49" t="s">
        <v>227</v>
      </c>
      <c r="D73" s="49" t="s">
        <v>971</v>
      </c>
      <c r="E73" s="49" t="s">
        <v>232</v>
      </c>
      <c r="F73" s="49"/>
      <c r="G73" s="49" t="s">
        <v>35</v>
      </c>
      <c r="H73" s="50">
        <v>3000</v>
      </c>
      <c r="I73" s="49">
        <v>450</v>
      </c>
      <c r="J73" s="49" t="s">
        <v>36</v>
      </c>
      <c r="K73" s="49" t="s">
        <v>536</v>
      </c>
      <c r="L73" s="1"/>
      <c r="O73" s="1"/>
      <c r="P73" s="1"/>
    </row>
    <row r="74" spans="1:16" ht="15.75" customHeight="1">
      <c r="A74" s="49">
        <v>13</v>
      </c>
      <c r="B74" s="49" t="s">
        <v>1478</v>
      </c>
      <c r="C74" s="49" t="s">
        <v>227</v>
      </c>
      <c r="D74" s="49" t="s">
        <v>256</v>
      </c>
      <c r="E74" s="49" t="s">
        <v>248</v>
      </c>
      <c r="F74" s="49"/>
      <c r="G74" s="49" t="s">
        <v>35</v>
      </c>
      <c r="H74" s="50">
        <v>1000</v>
      </c>
      <c r="I74" s="49">
        <v>150</v>
      </c>
      <c r="J74" s="49" t="s">
        <v>36</v>
      </c>
      <c r="K74" s="49" t="s">
        <v>536</v>
      </c>
      <c r="L74" s="1"/>
      <c r="O74" s="1"/>
      <c r="P74" s="1"/>
    </row>
    <row r="75" spans="1:16" ht="15.75" customHeight="1">
      <c r="A75" s="49">
        <v>16</v>
      </c>
      <c r="B75" s="49" t="s">
        <v>1479</v>
      </c>
      <c r="C75" s="49" t="s">
        <v>227</v>
      </c>
      <c r="D75" s="49" t="s">
        <v>1245</v>
      </c>
      <c r="E75" s="49" t="s">
        <v>323</v>
      </c>
      <c r="F75" s="49"/>
      <c r="G75" s="49" t="s">
        <v>35</v>
      </c>
      <c r="H75" s="50">
        <v>1500</v>
      </c>
      <c r="I75" s="49">
        <v>225</v>
      </c>
      <c r="J75" s="49" t="s">
        <v>36</v>
      </c>
      <c r="K75" s="49" t="s">
        <v>536</v>
      </c>
      <c r="L75" s="1"/>
      <c r="O75" s="1"/>
      <c r="P75" s="4"/>
    </row>
    <row r="76" spans="1:16" ht="15.75" customHeight="1">
      <c r="A76" s="49">
        <v>16</v>
      </c>
      <c r="B76" s="49" t="s">
        <v>1480</v>
      </c>
      <c r="C76" s="49" t="s">
        <v>227</v>
      </c>
      <c r="D76" s="49" t="s">
        <v>1481</v>
      </c>
      <c r="E76" s="49" t="s">
        <v>321</v>
      </c>
      <c r="F76" s="49"/>
      <c r="G76" s="49" t="s">
        <v>35</v>
      </c>
      <c r="H76" s="50">
        <v>1500</v>
      </c>
      <c r="I76" s="49">
        <v>225</v>
      </c>
      <c r="J76" s="49" t="s">
        <v>36</v>
      </c>
      <c r="K76" s="49" t="s">
        <v>536</v>
      </c>
      <c r="L76" s="1"/>
      <c r="O76" s="1"/>
      <c r="P76" s="1"/>
    </row>
    <row r="77" spans="1:16" ht="15.75" customHeight="1">
      <c r="A77" s="49">
        <v>16</v>
      </c>
      <c r="B77" s="49" t="s">
        <v>1482</v>
      </c>
      <c r="C77" s="49" t="s">
        <v>227</v>
      </c>
      <c r="D77" s="49" t="s">
        <v>515</v>
      </c>
      <c r="E77" s="49" t="s">
        <v>164</v>
      </c>
      <c r="F77" s="49"/>
      <c r="G77" s="49" t="s">
        <v>35</v>
      </c>
      <c r="H77" s="50">
        <v>4000</v>
      </c>
      <c r="I77" s="49">
        <v>600</v>
      </c>
      <c r="J77" s="49" t="s">
        <v>36</v>
      </c>
      <c r="K77" s="49" t="s">
        <v>536</v>
      </c>
      <c r="L77" s="1"/>
      <c r="O77" s="1"/>
      <c r="P77" s="1"/>
    </row>
    <row r="78" spans="1:16" ht="15.75" customHeight="1">
      <c r="A78" s="49">
        <v>16</v>
      </c>
      <c r="B78" s="49" t="s">
        <v>1483</v>
      </c>
      <c r="C78" s="49" t="s">
        <v>227</v>
      </c>
      <c r="D78" s="49" t="s">
        <v>396</v>
      </c>
      <c r="E78" s="49" t="s">
        <v>307</v>
      </c>
      <c r="F78" s="49"/>
      <c r="G78" s="50" t="s">
        <v>35</v>
      </c>
      <c r="H78" s="50">
        <v>3300</v>
      </c>
      <c r="I78" s="49">
        <v>495</v>
      </c>
      <c r="J78" s="49" t="s">
        <v>36</v>
      </c>
      <c r="K78" s="49" t="s">
        <v>536</v>
      </c>
      <c r="L78" s="1"/>
      <c r="O78" s="1"/>
      <c r="P78" s="1"/>
    </row>
    <row r="79" spans="1:16" ht="15.75" customHeight="1">
      <c r="A79" s="49">
        <v>16</v>
      </c>
      <c r="B79" s="49" t="s">
        <v>1484</v>
      </c>
      <c r="C79" s="49" t="s">
        <v>227</v>
      </c>
      <c r="D79" s="49" t="s">
        <v>898</v>
      </c>
      <c r="E79" s="49" t="s">
        <v>41</v>
      </c>
      <c r="F79" s="49"/>
      <c r="G79" s="49" t="s">
        <v>35</v>
      </c>
      <c r="H79" s="49">
        <v>500</v>
      </c>
      <c r="I79" s="49">
        <v>75</v>
      </c>
      <c r="J79" s="49" t="s">
        <v>36</v>
      </c>
      <c r="K79" s="49" t="s">
        <v>536</v>
      </c>
      <c r="L79" s="1"/>
      <c r="O79" s="1"/>
      <c r="P79" s="1"/>
    </row>
    <row r="80" spans="1:16" ht="15.75" customHeight="1">
      <c r="A80" s="49">
        <v>16</v>
      </c>
      <c r="B80" s="49" t="s">
        <v>1484</v>
      </c>
      <c r="C80" s="49" t="s">
        <v>227</v>
      </c>
      <c r="D80" s="49" t="s">
        <v>898</v>
      </c>
      <c r="E80" s="49" t="s">
        <v>41</v>
      </c>
      <c r="F80" s="49"/>
      <c r="G80" s="49" t="s">
        <v>35</v>
      </c>
      <c r="H80" s="49">
        <v>500</v>
      </c>
      <c r="I80" s="49"/>
      <c r="J80" s="49" t="s">
        <v>43</v>
      </c>
      <c r="K80" s="49" t="s">
        <v>536</v>
      </c>
      <c r="L80" s="1"/>
      <c r="O80" s="1"/>
      <c r="P80" s="1"/>
    </row>
    <row r="81" spans="1:16" ht="15.75" customHeight="1">
      <c r="A81" s="49">
        <v>16</v>
      </c>
      <c r="B81" s="49" t="s">
        <v>1485</v>
      </c>
      <c r="C81" s="49" t="s">
        <v>227</v>
      </c>
      <c r="D81" s="49" t="s">
        <v>768</v>
      </c>
      <c r="E81" s="49" t="s">
        <v>251</v>
      </c>
      <c r="F81" s="49"/>
      <c r="G81" s="49" t="s">
        <v>35</v>
      </c>
      <c r="H81" s="49">
        <v>200</v>
      </c>
      <c r="I81" s="49">
        <v>30</v>
      </c>
      <c r="J81" s="49" t="s">
        <v>36</v>
      </c>
      <c r="K81" s="49" t="s">
        <v>536</v>
      </c>
      <c r="L81" s="1"/>
      <c r="O81" s="1"/>
      <c r="P81" s="1"/>
    </row>
    <row r="82" spans="1:16" ht="15.75" customHeight="1">
      <c r="A82" s="49">
        <v>16</v>
      </c>
      <c r="B82" s="49" t="s">
        <v>1486</v>
      </c>
      <c r="C82" s="49" t="s">
        <v>246</v>
      </c>
      <c r="D82" s="49" t="s">
        <v>297</v>
      </c>
      <c r="E82" s="49" t="s">
        <v>51</v>
      </c>
      <c r="F82" s="49"/>
      <c r="G82" s="49" t="s">
        <v>35</v>
      </c>
      <c r="H82" s="50">
        <v>3000</v>
      </c>
      <c r="I82" s="49">
        <v>450</v>
      </c>
      <c r="J82" s="49" t="s">
        <v>36</v>
      </c>
      <c r="K82" s="49" t="s">
        <v>536</v>
      </c>
      <c r="L82" s="1"/>
      <c r="O82" s="1"/>
      <c r="P82" s="1"/>
    </row>
    <row r="83" spans="1:16" ht="15.75" customHeight="1">
      <c r="A83" s="49">
        <v>16</v>
      </c>
      <c r="B83" s="49" t="s">
        <v>1487</v>
      </c>
      <c r="C83" s="49" t="s">
        <v>246</v>
      </c>
      <c r="D83" s="49" t="s">
        <v>247</v>
      </c>
      <c r="E83" s="49" t="s">
        <v>307</v>
      </c>
      <c r="F83" s="49"/>
      <c r="G83" s="49" t="s">
        <v>35</v>
      </c>
      <c r="H83" s="49">
        <v>100</v>
      </c>
      <c r="I83" s="49">
        <v>15</v>
      </c>
      <c r="J83" s="49" t="s">
        <v>36</v>
      </c>
      <c r="K83" s="49" t="s">
        <v>536</v>
      </c>
      <c r="L83" s="4"/>
      <c r="O83" s="1"/>
      <c r="P83" s="1"/>
    </row>
    <row r="84" spans="1:16" ht="15.75" customHeight="1">
      <c r="A84" s="96">
        <v>16</v>
      </c>
      <c r="B84" s="47" t="s">
        <v>1488</v>
      </c>
      <c r="C84" s="47" t="s">
        <v>227</v>
      </c>
      <c r="D84" s="47" t="s">
        <v>619</v>
      </c>
      <c r="E84" s="47" t="s">
        <v>193</v>
      </c>
      <c r="F84" s="49"/>
      <c r="G84" s="47" t="s">
        <v>35</v>
      </c>
      <c r="H84" s="97">
        <v>4000</v>
      </c>
      <c r="I84" s="51">
        <v>600</v>
      </c>
      <c r="J84" s="49" t="s">
        <v>36</v>
      </c>
      <c r="K84" s="49" t="s">
        <v>536</v>
      </c>
      <c r="L84" s="1"/>
      <c r="O84" s="1"/>
      <c r="P84" s="1"/>
    </row>
    <row r="85" spans="1:16" ht="15.75" customHeight="1">
      <c r="A85" s="96">
        <v>16</v>
      </c>
      <c r="B85" s="47" t="s">
        <v>547</v>
      </c>
      <c r="C85" s="47" t="s">
        <v>227</v>
      </c>
      <c r="D85" s="47" t="s">
        <v>548</v>
      </c>
      <c r="E85" s="47" t="s">
        <v>48</v>
      </c>
      <c r="F85" s="49"/>
      <c r="G85" s="47" t="s">
        <v>35</v>
      </c>
      <c r="H85" s="97">
        <v>10000</v>
      </c>
      <c r="I85" s="51">
        <v>1500</v>
      </c>
      <c r="J85" s="49" t="s">
        <v>36</v>
      </c>
      <c r="K85" s="49" t="s">
        <v>536</v>
      </c>
      <c r="L85" s="4"/>
      <c r="O85" s="4"/>
      <c r="P85" s="1"/>
    </row>
    <row r="86" spans="1:16" ht="15.75" customHeight="1">
      <c r="A86" s="96">
        <v>16</v>
      </c>
      <c r="B86" s="47" t="s">
        <v>1489</v>
      </c>
      <c r="C86" s="47" t="s">
        <v>227</v>
      </c>
      <c r="D86" s="47" t="s">
        <v>163</v>
      </c>
      <c r="E86" s="47" t="s">
        <v>184</v>
      </c>
      <c r="F86" s="49"/>
      <c r="G86" s="47" t="s">
        <v>35</v>
      </c>
      <c r="H86" s="97">
        <v>700</v>
      </c>
      <c r="I86" s="51">
        <v>105</v>
      </c>
      <c r="J86" s="49" t="s">
        <v>36</v>
      </c>
      <c r="K86" s="49" t="s">
        <v>536</v>
      </c>
      <c r="L86" s="1"/>
      <c r="O86" s="1"/>
      <c r="P86" s="1"/>
    </row>
    <row r="87" spans="1:16" ht="15.75" customHeight="1">
      <c r="A87" s="96">
        <v>16</v>
      </c>
      <c r="B87" s="47" t="s">
        <v>1490</v>
      </c>
      <c r="C87" s="47" t="s">
        <v>246</v>
      </c>
      <c r="D87" s="47" t="s">
        <v>1491</v>
      </c>
      <c r="E87" s="47" t="s">
        <v>80</v>
      </c>
      <c r="F87" s="49"/>
      <c r="G87" s="47" t="s">
        <v>35</v>
      </c>
      <c r="H87" s="97">
        <v>3000</v>
      </c>
      <c r="I87" s="51">
        <v>450</v>
      </c>
      <c r="J87" s="49" t="s">
        <v>36</v>
      </c>
      <c r="K87" s="49" t="s">
        <v>536</v>
      </c>
      <c r="L87" s="4"/>
      <c r="O87" s="1"/>
      <c r="P87" s="1"/>
    </row>
    <row r="88" spans="1:16" ht="15.75" customHeight="1">
      <c r="A88" s="96">
        <v>16</v>
      </c>
      <c r="B88" s="47" t="s">
        <v>1492</v>
      </c>
      <c r="C88" s="47" t="s">
        <v>227</v>
      </c>
      <c r="D88" s="47" t="s">
        <v>234</v>
      </c>
      <c r="E88" s="47" t="s">
        <v>235</v>
      </c>
      <c r="F88" s="49"/>
      <c r="G88" s="47" t="s">
        <v>35</v>
      </c>
      <c r="H88" s="97">
        <v>600</v>
      </c>
      <c r="I88" s="51">
        <v>90</v>
      </c>
      <c r="J88" s="49" t="s">
        <v>36</v>
      </c>
      <c r="K88" s="49" t="s">
        <v>536</v>
      </c>
      <c r="L88" s="1"/>
      <c r="O88" s="1"/>
      <c r="P88" s="1"/>
    </row>
    <row r="89" spans="1:16" ht="15.75" customHeight="1">
      <c r="A89" s="96">
        <v>16</v>
      </c>
      <c r="B89" s="47" t="s">
        <v>1493</v>
      </c>
      <c r="C89" s="47" t="s">
        <v>227</v>
      </c>
      <c r="D89" s="47" t="s">
        <v>1494</v>
      </c>
      <c r="E89" s="47" t="s">
        <v>193</v>
      </c>
      <c r="F89" s="49"/>
      <c r="G89" s="47" t="s">
        <v>35</v>
      </c>
      <c r="H89" s="97">
        <v>1500</v>
      </c>
      <c r="I89" s="51">
        <v>225</v>
      </c>
      <c r="J89" s="49" t="s">
        <v>36</v>
      </c>
      <c r="K89" s="49" t="s">
        <v>536</v>
      </c>
      <c r="L89" s="1"/>
      <c r="O89" s="1"/>
      <c r="P89" s="4"/>
    </row>
    <row r="90" spans="1:16" ht="15.75" customHeight="1">
      <c r="A90" s="96">
        <v>16</v>
      </c>
      <c r="B90" s="47" t="s">
        <v>278</v>
      </c>
      <c r="C90" s="47" t="s">
        <v>227</v>
      </c>
      <c r="D90" s="47" t="s">
        <v>32</v>
      </c>
      <c r="E90" s="47" t="s">
        <v>241</v>
      </c>
      <c r="F90" s="49"/>
      <c r="G90" s="47" t="s">
        <v>35</v>
      </c>
      <c r="H90" s="97">
        <v>2000</v>
      </c>
      <c r="I90" s="51">
        <v>300</v>
      </c>
      <c r="J90" s="49" t="s">
        <v>36</v>
      </c>
      <c r="K90" s="49" t="s">
        <v>536</v>
      </c>
      <c r="L90" s="4"/>
      <c r="O90" s="1"/>
      <c r="P90" s="1"/>
    </row>
    <row r="91" spans="1:16" ht="15.75" customHeight="1">
      <c r="A91" s="96">
        <v>16</v>
      </c>
      <c r="B91" s="47" t="s">
        <v>1495</v>
      </c>
      <c r="C91" s="47" t="s">
        <v>227</v>
      </c>
      <c r="D91" s="47" t="s">
        <v>770</v>
      </c>
      <c r="E91" s="47" t="s">
        <v>235</v>
      </c>
      <c r="F91" s="49"/>
      <c r="G91" s="47" t="s">
        <v>35</v>
      </c>
      <c r="H91" s="97">
        <v>500</v>
      </c>
      <c r="I91" s="51">
        <v>75</v>
      </c>
      <c r="J91" s="49" t="s">
        <v>36</v>
      </c>
      <c r="K91" s="49" t="s">
        <v>536</v>
      </c>
      <c r="L91" s="1"/>
      <c r="O91" s="1"/>
      <c r="P91" s="1"/>
    </row>
    <row r="92" spans="1:16" ht="15.75" customHeight="1">
      <c r="A92" s="96">
        <v>16</v>
      </c>
      <c r="B92" s="47" t="s">
        <v>1496</v>
      </c>
      <c r="C92" s="47" t="s">
        <v>227</v>
      </c>
      <c r="D92" s="47" t="s">
        <v>705</v>
      </c>
      <c r="E92" s="47" t="s">
        <v>51</v>
      </c>
      <c r="F92" s="49"/>
      <c r="G92" s="47" t="s">
        <v>35</v>
      </c>
      <c r="H92" s="97">
        <v>300</v>
      </c>
      <c r="I92" s="51">
        <v>45</v>
      </c>
      <c r="J92" s="49" t="s">
        <v>36</v>
      </c>
      <c r="K92" s="49" t="s">
        <v>536</v>
      </c>
      <c r="L92" s="1"/>
      <c r="O92" s="1"/>
      <c r="P92" s="1"/>
    </row>
    <row r="93" spans="1:16" ht="15.75" customHeight="1">
      <c r="A93" s="96">
        <v>16</v>
      </c>
      <c r="B93" s="47" t="s">
        <v>1497</v>
      </c>
      <c r="C93" s="47" t="s">
        <v>227</v>
      </c>
      <c r="D93" s="47" t="s">
        <v>598</v>
      </c>
      <c r="E93" s="47" t="s">
        <v>232</v>
      </c>
      <c r="F93" s="49"/>
      <c r="G93" s="47" t="s">
        <v>35</v>
      </c>
      <c r="H93" s="97">
        <v>600</v>
      </c>
      <c r="I93" s="51">
        <v>90</v>
      </c>
      <c r="J93" s="49" t="s">
        <v>36</v>
      </c>
      <c r="K93" s="49" t="s">
        <v>536</v>
      </c>
      <c r="L93" s="1"/>
      <c r="O93" s="1"/>
      <c r="P93" s="1"/>
    </row>
    <row r="94" spans="1:16" ht="15.75" customHeight="1">
      <c r="A94" s="96">
        <v>16</v>
      </c>
      <c r="B94" s="47" t="s">
        <v>1498</v>
      </c>
      <c r="C94" s="47" t="s">
        <v>227</v>
      </c>
      <c r="D94" s="47" t="s">
        <v>295</v>
      </c>
      <c r="E94" s="47" t="s">
        <v>248</v>
      </c>
      <c r="F94" s="49"/>
      <c r="G94" s="47" t="s">
        <v>35</v>
      </c>
      <c r="H94" s="97">
        <v>1200</v>
      </c>
      <c r="I94" s="51">
        <v>180</v>
      </c>
      <c r="J94" s="49" t="s">
        <v>36</v>
      </c>
      <c r="K94" s="49" t="s">
        <v>536</v>
      </c>
      <c r="L94" s="1"/>
      <c r="O94" s="1"/>
      <c r="P94" s="1"/>
    </row>
    <row r="95" spans="1:16" ht="15.75" customHeight="1">
      <c r="A95" s="96">
        <v>16</v>
      </c>
      <c r="B95" s="47" t="s">
        <v>1499</v>
      </c>
      <c r="C95" s="47" t="s">
        <v>227</v>
      </c>
      <c r="D95" s="47" t="s">
        <v>295</v>
      </c>
      <c r="E95" s="47" t="s">
        <v>248</v>
      </c>
      <c r="F95" s="49"/>
      <c r="G95" s="47" t="s">
        <v>35</v>
      </c>
      <c r="H95" s="97">
        <v>3000</v>
      </c>
      <c r="I95" s="51">
        <v>450</v>
      </c>
      <c r="J95" s="49" t="s">
        <v>36</v>
      </c>
      <c r="K95" s="49" t="s">
        <v>536</v>
      </c>
      <c r="L95" s="1"/>
      <c r="O95" s="1"/>
      <c r="P95" s="1"/>
    </row>
    <row r="96" spans="1:16" ht="15.75" customHeight="1">
      <c r="A96" s="96">
        <v>16</v>
      </c>
      <c r="B96" s="47" t="s">
        <v>1500</v>
      </c>
      <c r="C96" s="47" t="s">
        <v>246</v>
      </c>
      <c r="D96" s="47" t="s">
        <v>295</v>
      </c>
      <c r="E96" s="47" t="s">
        <v>248</v>
      </c>
      <c r="F96" s="49"/>
      <c r="G96" s="47" t="s">
        <v>35</v>
      </c>
      <c r="H96" s="97">
        <v>3500</v>
      </c>
      <c r="I96" s="51">
        <v>525</v>
      </c>
      <c r="J96" s="49" t="s">
        <v>36</v>
      </c>
      <c r="K96" s="49" t="s">
        <v>536</v>
      </c>
      <c r="L96" s="1"/>
      <c r="O96" s="4"/>
      <c r="P96" s="1"/>
    </row>
    <row r="97" spans="1:16" ht="15.75" customHeight="1">
      <c r="A97" s="96">
        <v>17</v>
      </c>
      <c r="B97" s="47" t="s">
        <v>1501</v>
      </c>
      <c r="C97" s="47" t="s">
        <v>246</v>
      </c>
      <c r="D97" s="47" t="s">
        <v>772</v>
      </c>
      <c r="E97" s="47" t="s">
        <v>232</v>
      </c>
      <c r="F97" s="49"/>
      <c r="G97" s="47" t="s">
        <v>35</v>
      </c>
      <c r="H97" s="97">
        <v>500</v>
      </c>
      <c r="I97" s="51"/>
      <c r="J97" s="49" t="s">
        <v>43</v>
      </c>
      <c r="K97" s="49" t="s">
        <v>536</v>
      </c>
      <c r="L97" s="1"/>
      <c r="O97" s="1"/>
      <c r="P97" s="1"/>
    </row>
    <row r="98" spans="1:16" ht="15.75" customHeight="1">
      <c r="A98" s="96">
        <v>17</v>
      </c>
      <c r="B98" s="47" t="s">
        <v>1502</v>
      </c>
      <c r="C98" s="47" t="s">
        <v>227</v>
      </c>
      <c r="D98" s="47" t="s">
        <v>944</v>
      </c>
      <c r="E98" s="47" t="s">
        <v>164</v>
      </c>
      <c r="F98" s="49"/>
      <c r="G98" s="47" t="s">
        <v>35</v>
      </c>
      <c r="H98" s="97">
        <v>4000</v>
      </c>
      <c r="I98" s="51">
        <v>600</v>
      </c>
      <c r="J98" s="49" t="s">
        <v>36</v>
      </c>
      <c r="K98" s="49" t="s">
        <v>536</v>
      </c>
      <c r="L98" s="1"/>
      <c r="O98" s="4"/>
      <c r="P98" s="1"/>
    </row>
    <row r="99" spans="1:16" ht="15.75" customHeight="1">
      <c r="A99" s="96">
        <v>17</v>
      </c>
      <c r="B99" s="47" t="s">
        <v>923</v>
      </c>
      <c r="C99" s="47" t="s">
        <v>227</v>
      </c>
      <c r="D99" s="47" t="s">
        <v>924</v>
      </c>
      <c r="E99" s="47" t="s">
        <v>248</v>
      </c>
      <c r="F99" s="49"/>
      <c r="G99" s="47" t="s">
        <v>35</v>
      </c>
      <c r="H99" s="97">
        <v>3000</v>
      </c>
      <c r="I99" s="51">
        <v>450</v>
      </c>
      <c r="J99" s="49" t="s">
        <v>36</v>
      </c>
      <c r="K99" s="49" t="s">
        <v>536</v>
      </c>
      <c r="L99" s="1"/>
      <c r="O99" s="1"/>
      <c r="P99" s="1"/>
    </row>
    <row r="100" spans="1:16" ht="15.75" customHeight="1">
      <c r="A100" s="96">
        <v>17</v>
      </c>
      <c r="B100" s="47" t="s">
        <v>1347</v>
      </c>
      <c r="C100" s="47" t="s">
        <v>227</v>
      </c>
      <c r="D100" s="47" t="s">
        <v>33</v>
      </c>
      <c r="E100" s="47" t="s">
        <v>307</v>
      </c>
      <c r="F100" s="49"/>
      <c r="G100" s="47" t="s">
        <v>35</v>
      </c>
      <c r="H100" s="97">
        <v>1600</v>
      </c>
      <c r="I100" s="51">
        <v>240</v>
      </c>
      <c r="J100" s="49" t="s">
        <v>36</v>
      </c>
      <c r="K100" s="49" t="s">
        <v>536</v>
      </c>
      <c r="L100" s="4"/>
      <c r="O100" s="4"/>
      <c r="P100" s="1"/>
    </row>
    <row r="101" spans="1:16" ht="15.75" customHeight="1">
      <c r="A101" s="96">
        <v>17</v>
      </c>
      <c r="B101" s="47" t="s">
        <v>1503</v>
      </c>
      <c r="C101" s="47" t="s">
        <v>227</v>
      </c>
      <c r="D101" s="47" t="s">
        <v>905</v>
      </c>
      <c r="E101" s="47" t="s">
        <v>193</v>
      </c>
      <c r="F101" s="49"/>
      <c r="G101" s="47" t="s">
        <v>35</v>
      </c>
      <c r="H101" s="97">
        <v>4000</v>
      </c>
      <c r="I101" s="51">
        <v>600</v>
      </c>
      <c r="J101" s="49" t="s">
        <v>36</v>
      </c>
      <c r="K101" s="49" t="s">
        <v>536</v>
      </c>
      <c r="L101" s="1"/>
      <c r="O101" s="1"/>
      <c r="P101" s="1"/>
    </row>
    <row r="102" spans="1:16" ht="15.75" customHeight="1">
      <c r="A102" s="96">
        <v>17</v>
      </c>
      <c r="B102" s="47" t="s">
        <v>1504</v>
      </c>
      <c r="C102" s="47" t="s">
        <v>227</v>
      </c>
      <c r="D102" s="47" t="s">
        <v>277</v>
      </c>
      <c r="E102" s="47" t="s">
        <v>232</v>
      </c>
      <c r="F102" s="49"/>
      <c r="G102" s="47" t="s">
        <v>35</v>
      </c>
      <c r="H102" s="97">
        <v>5000</v>
      </c>
      <c r="I102" s="51">
        <v>750</v>
      </c>
      <c r="J102" s="49" t="s">
        <v>36</v>
      </c>
      <c r="K102" s="49" t="s">
        <v>536</v>
      </c>
      <c r="L102" s="4"/>
      <c r="O102" s="4"/>
      <c r="P102" s="1"/>
    </row>
    <row r="103" spans="1:16" ht="15.75" customHeight="1">
      <c r="A103" s="96">
        <v>17</v>
      </c>
      <c r="B103" s="47" t="s">
        <v>1505</v>
      </c>
      <c r="C103" s="47" t="s">
        <v>227</v>
      </c>
      <c r="D103" s="47" t="s">
        <v>277</v>
      </c>
      <c r="E103" s="47" t="s">
        <v>232</v>
      </c>
      <c r="F103" s="49"/>
      <c r="G103" s="47" t="s">
        <v>35</v>
      </c>
      <c r="H103" s="97">
        <v>6000</v>
      </c>
      <c r="I103" s="51">
        <v>900</v>
      </c>
      <c r="J103" s="49" t="s">
        <v>36</v>
      </c>
      <c r="K103" s="49" t="s">
        <v>536</v>
      </c>
      <c r="L103" s="1"/>
      <c r="O103" s="4"/>
      <c r="P103" s="1"/>
    </row>
    <row r="104" spans="1:16" ht="15.75" customHeight="1">
      <c r="A104" s="96">
        <v>17</v>
      </c>
      <c r="B104" s="47" t="s">
        <v>1332</v>
      </c>
      <c r="C104" s="47" t="s">
        <v>227</v>
      </c>
      <c r="D104" s="47" t="s">
        <v>548</v>
      </c>
      <c r="E104" s="47" t="s">
        <v>48</v>
      </c>
      <c r="F104" s="49"/>
      <c r="G104" s="47" t="s">
        <v>35</v>
      </c>
      <c r="H104" s="97">
        <v>500</v>
      </c>
      <c r="I104" s="51">
        <v>75</v>
      </c>
      <c r="J104" s="49" t="s">
        <v>36</v>
      </c>
      <c r="K104" s="49" t="s">
        <v>536</v>
      </c>
      <c r="L104" s="4"/>
      <c r="O104" s="4"/>
      <c r="P104" s="1"/>
    </row>
    <row r="105" spans="1:16" ht="15.75" customHeight="1">
      <c r="A105" s="96">
        <v>17</v>
      </c>
      <c r="B105" s="47" t="s">
        <v>1332</v>
      </c>
      <c r="C105" s="47" t="s">
        <v>227</v>
      </c>
      <c r="D105" s="47" t="s">
        <v>548</v>
      </c>
      <c r="E105" s="47" t="s">
        <v>48</v>
      </c>
      <c r="F105" s="49"/>
      <c r="G105" s="47" t="s">
        <v>242</v>
      </c>
      <c r="H105" s="97">
        <v>10</v>
      </c>
      <c r="I105" s="51">
        <v>30</v>
      </c>
      <c r="J105" s="49" t="s">
        <v>36</v>
      </c>
      <c r="K105" s="49" t="s">
        <v>536</v>
      </c>
      <c r="L105" s="1"/>
      <c r="O105" s="1"/>
      <c r="P105" s="1"/>
    </row>
    <row r="106" spans="1:16" ht="15.75" customHeight="1">
      <c r="A106" s="96">
        <v>17</v>
      </c>
      <c r="B106" s="47" t="s">
        <v>1506</v>
      </c>
      <c r="C106" s="47" t="s">
        <v>227</v>
      </c>
      <c r="D106" s="47" t="s">
        <v>1507</v>
      </c>
      <c r="E106" s="47" t="s">
        <v>1508</v>
      </c>
      <c r="F106" s="49"/>
      <c r="G106" s="47" t="s">
        <v>35</v>
      </c>
      <c r="H106" s="97">
        <v>100</v>
      </c>
      <c r="I106" s="51">
        <v>25</v>
      </c>
      <c r="J106" s="49" t="s">
        <v>36</v>
      </c>
      <c r="K106" s="49" t="s">
        <v>536</v>
      </c>
      <c r="L106" s="1"/>
      <c r="O106" s="4"/>
      <c r="P106" s="1"/>
    </row>
    <row r="107" spans="1:16" ht="15.75" customHeight="1">
      <c r="A107" s="96">
        <v>17</v>
      </c>
      <c r="B107" s="47" t="s">
        <v>42</v>
      </c>
      <c r="C107" s="47" t="s">
        <v>227</v>
      </c>
      <c r="D107" s="47" t="s">
        <v>40</v>
      </c>
      <c r="E107" s="47" t="s">
        <v>41</v>
      </c>
      <c r="F107" s="49"/>
      <c r="G107" s="47" t="s">
        <v>35</v>
      </c>
      <c r="H107" s="97">
        <v>2500</v>
      </c>
      <c r="I107" s="51"/>
      <c r="J107" s="49" t="s">
        <v>43</v>
      </c>
      <c r="K107" s="49" t="s">
        <v>536</v>
      </c>
      <c r="L107" s="4"/>
      <c r="O107" s="4"/>
      <c r="P107" s="1"/>
    </row>
    <row r="108" spans="1:16" ht="15.75" customHeight="1">
      <c r="A108" s="96">
        <v>17</v>
      </c>
      <c r="B108" s="47" t="s">
        <v>1509</v>
      </c>
      <c r="C108" s="47" t="s">
        <v>227</v>
      </c>
      <c r="D108" s="47" t="s">
        <v>32</v>
      </c>
      <c r="E108" s="47" t="s">
        <v>1510</v>
      </c>
      <c r="F108" s="49"/>
      <c r="G108" s="47" t="s">
        <v>35</v>
      </c>
      <c r="H108" s="97">
        <v>15000</v>
      </c>
      <c r="I108" s="51">
        <v>2250</v>
      </c>
      <c r="J108" s="49" t="s">
        <v>36</v>
      </c>
      <c r="K108" s="49" t="s">
        <v>536</v>
      </c>
      <c r="L108" s="1"/>
      <c r="O108" s="4"/>
      <c r="P108" s="1"/>
    </row>
    <row r="109" spans="1:16" ht="15.75" customHeight="1">
      <c r="A109" s="96">
        <v>17</v>
      </c>
      <c r="B109" s="47" t="s">
        <v>823</v>
      </c>
      <c r="C109" s="47" t="s">
        <v>246</v>
      </c>
      <c r="D109" s="47" t="s">
        <v>423</v>
      </c>
      <c r="E109" s="47" t="s">
        <v>248</v>
      </c>
      <c r="F109" s="49"/>
      <c r="G109" s="47" t="s">
        <v>35</v>
      </c>
      <c r="H109" s="97">
        <v>2000</v>
      </c>
      <c r="I109" s="51">
        <v>300</v>
      </c>
      <c r="J109" s="49" t="s">
        <v>36</v>
      </c>
      <c r="K109" s="49" t="s">
        <v>536</v>
      </c>
      <c r="L109" s="1"/>
      <c r="O109" s="4"/>
      <c r="P109" s="1"/>
    </row>
    <row r="110" spans="1:16" ht="15.75" customHeight="1">
      <c r="A110" s="96">
        <v>17</v>
      </c>
      <c r="B110" s="47" t="s">
        <v>1511</v>
      </c>
      <c r="C110" s="47" t="s">
        <v>227</v>
      </c>
      <c r="D110" s="47" t="s">
        <v>1512</v>
      </c>
      <c r="E110" s="47" t="s">
        <v>321</v>
      </c>
      <c r="F110" s="49"/>
      <c r="G110" s="47" t="s">
        <v>35</v>
      </c>
      <c r="H110" s="97">
        <v>6000</v>
      </c>
      <c r="I110" s="51">
        <v>900</v>
      </c>
      <c r="J110" s="49" t="s">
        <v>36</v>
      </c>
      <c r="K110" s="49" t="s">
        <v>536</v>
      </c>
      <c r="L110" s="1"/>
      <c r="O110" s="4"/>
      <c r="P110" s="1"/>
    </row>
    <row r="111" spans="1:16" ht="15.75" customHeight="1">
      <c r="A111" s="96">
        <v>18</v>
      </c>
      <c r="B111" s="47" t="s">
        <v>1513</v>
      </c>
      <c r="C111" s="47" t="s">
        <v>246</v>
      </c>
      <c r="D111" s="47" t="s">
        <v>295</v>
      </c>
      <c r="E111" s="47" t="s">
        <v>248</v>
      </c>
      <c r="F111" s="49"/>
      <c r="G111" s="47" t="s">
        <v>35</v>
      </c>
      <c r="H111" s="97">
        <v>2300</v>
      </c>
      <c r="I111" s="51">
        <v>345</v>
      </c>
      <c r="J111" s="49" t="s">
        <v>36</v>
      </c>
      <c r="K111" s="49" t="s">
        <v>536</v>
      </c>
      <c r="L111" s="1"/>
      <c r="O111" s="4"/>
      <c r="P111" s="1"/>
    </row>
    <row r="112" spans="1:16" ht="15.75" customHeight="1">
      <c r="A112" s="96">
        <v>18</v>
      </c>
      <c r="B112" s="47" t="s">
        <v>1514</v>
      </c>
      <c r="C112" s="47" t="s">
        <v>227</v>
      </c>
      <c r="D112" s="47" t="s">
        <v>32</v>
      </c>
      <c r="E112" s="47" t="s">
        <v>51</v>
      </c>
      <c r="F112" s="49"/>
      <c r="G112" s="47" t="s">
        <v>35</v>
      </c>
      <c r="H112" s="97">
        <v>2000</v>
      </c>
      <c r="I112" s="51">
        <v>300</v>
      </c>
      <c r="J112" s="49" t="s">
        <v>36</v>
      </c>
      <c r="K112" s="49" t="s">
        <v>536</v>
      </c>
      <c r="L112" s="1"/>
      <c r="O112" s="4"/>
      <c r="P112" s="1"/>
    </row>
    <row r="113" spans="1:16" ht="15.75" customHeight="1">
      <c r="A113" s="96">
        <v>18</v>
      </c>
      <c r="B113" s="47" t="s">
        <v>650</v>
      </c>
      <c r="C113" s="47" t="s">
        <v>227</v>
      </c>
      <c r="D113" s="47" t="s">
        <v>234</v>
      </c>
      <c r="E113" s="47" t="s">
        <v>235</v>
      </c>
      <c r="F113" s="49"/>
      <c r="G113" s="47" t="s">
        <v>35</v>
      </c>
      <c r="H113" s="97">
        <v>1500</v>
      </c>
      <c r="I113" s="51">
        <v>225</v>
      </c>
      <c r="J113" s="49" t="s">
        <v>36</v>
      </c>
      <c r="K113" s="49" t="s">
        <v>536</v>
      </c>
      <c r="L113" s="1"/>
      <c r="O113" s="4"/>
      <c r="P113" s="1"/>
    </row>
    <row r="114" spans="1:16" ht="15.75" customHeight="1">
      <c r="A114" s="96">
        <v>18</v>
      </c>
      <c r="B114" s="47" t="s">
        <v>1515</v>
      </c>
      <c r="C114" s="47" t="s">
        <v>227</v>
      </c>
      <c r="D114" s="47" t="s">
        <v>1516</v>
      </c>
      <c r="E114" s="47" t="s">
        <v>251</v>
      </c>
      <c r="F114" s="49"/>
      <c r="G114" s="47" t="s">
        <v>35</v>
      </c>
      <c r="H114" s="97">
        <v>100</v>
      </c>
      <c r="I114" s="51">
        <v>15</v>
      </c>
      <c r="J114" s="49" t="s">
        <v>36</v>
      </c>
      <c r="K114" s="49" t="s">
        <v>536</v>
      </c>
      <c r="L114" s="1"/>
      <c r="O114" s="4"/>
      <c r="P114" s="1"/>
    </row>
    <row r="115" spans="1:16" ht="15.75" customHeight="1">
      <c r="A115" s="96">
        <v>18</v>
      </c>
      <c r="B115" s="47" t="s">
        <v>1517</v>
      </c>
      <c r="C115" s="47" t="s">
        <v>246</v>
      </c>
      <c r="D115" s="47" t="s">
        <v>947</v>
      </c>
      <c r="E115" s="47" t="s">
        <v>164</v>
      </c>
      <c r="F115" s="49"/>
      <c r="G115" s="47" t="s">
        <v>35</v>
      </c>
      <c r="H115" s="97">
        <v>4500</v>
      </c>
      <c r="I115" s="51"/>
      <c r="J115" s="49" t="s">
        <v>43</v>
      </c>
      <c r="K115" s="49" t="s">
        <v>536</v>
      </c>
      <c r="L115" s="1"/>
      <c r="O115" s="4"/>
      <c r="P115" s="1"/>
    </row>
    <row r="116" spans="1:16" ht="15.75" customHeight="1">
      <c r="A116" s="96">
        <v>18</v>
      </c>
      <c r="B116" s="47" t="s">
        <v>1518</v>
      </c>
      <c r="C116" s="47" t="s">
        <v>227</v>
      </c>
      <c r="D116" s="47" t="s">
        <v>947</v>
      </c>
      <c r="E116" s="47" t="s">
        <v>164</v>
      </c>
      <c r="F116" s="49"/>
      <c r="G116" s="47" t="s">
        <v>35</v>
      </c>
      <c r="H116" s="97">
        <v>3500</v>
      </c>
      <c r="I116" s="51"/>
      <c r="J116" s="49" t="s">
        <v>43</v>
      </c>
      <c r="K116" s="49" t="s">
        <v>536</v>
      </c>
      <c r="L116" s="1"/>
      <c r="O116" s="4"/>
      <c r="P116" s="1"/>
    </row>
    <row r="117" spans="1:16" ht="15.75" customHeight="1">
      <c r="A117" s="96">
        <v>18</v>
      </c>
      <c r="B117" s="47" t="s">
        <v>1519</v>
      </c>
      <c r="C117" s="47" t="s">
        <v>227</v>
      </c>
      <c r="D117" s="47" t="s">
        <v>947</v>
      </c>
      <c r="E117" s="47" t="s">
        <v>164</v>
      </c>
      <c r="F117" s="49"/>
      <c r="G117" s="47" t="s">
        <v>35</v>
      </c>
      <c r="H117" s="97">
        <v>5000</v>
      </c>
      <c r="I117" s="51"/>
      <c r="J117" s="49" t="s">
        <v>43</v>
      </c>
      <c r="K117" s="49" t="s">
        <v>536</v>
      </c>
      <c r="L117" s="1"/>
      <c r="O117" s="4"/>
      <c r="P117" s="1"/>
    </row>
    <row r="118" spans="1:16" ht="15.75" customHeight="1">
      <c r="A118" s="96">
        <v>18</v>
      </c>
      <c r="B118" s="47" t="s">
        <v>1520</v>
      </c>
      <c r="C118" s="47" t="s">
        <v>227</v>
      </c>
      <c r="D118" s="47" t="s">
        <v>947</v>
      </c>
      <c r="E118" s="47" t="s">
        <v>164</v>
      </c>
      <c r="F118" s="49"/>
      <c r="G118" s="47" t="s">
        <v>35</v>
      </c>
      <c r="H118" s="97">
        <v>1000</v>
      </c>
      <c r="I118" s="51">
        <v>150</v>
      </c>
      <c r="J118" s="49" t="s">
        <v>36</v>
      </c>
      <c r="K118" s="49" t="s">
        <v>536</v>
      </c>
      <c r="L118" s="1"/>
      <c r="O118" s="4"/>
      <c r="P118" s="1"/>
    </row>
    <row r="119" spans="1:16" ht="15.75" customHeight="1">
      <c r="A119" s="96">
        <v>18</v>
      </c>
      <c r="B119" s="47" t="s">
        <v>1520</v>
      </c>
      <c r="C119" s="47" t="s">
        <v>227</v>
      </c>
      <c r="D119" s="47" t="s">
        <v>947</v>
      </c>
      <c r="E119" s="47" t="s">
        <v>164</v>
      </c>
      <c r="F119" s="49"/>
      <c r="G119" s="47" t="s">
        <v>35</v>
      </c>
      <c r="H119" s="97">
        <v>1000</v>
      </c>
      <c r="I119" s="51"/>
      <c r="J119" s="49" t="s">
        <v>43</v>
      </c>
      <c r="K119" s="49" t="s">
        <v>536</v>
      </c>
      <c r="L119" s="4"/>
      <c r="O119" s="1"/>
      <c r="P119" s="1"/>
    </row>
    <row r="120" spans="1:16" ht="15.75" customHeight="1">
      <c r="A120" s="96">
        <v>18</v>
      </c>
      <c r="B120" s="47" t="s">
        <v>1521</v>
      </c>
      <c r="C120" s="47" t="s">
        <v>227</v>
      </c>
      <c r="D120" s="47" t="s">
        <v>32</v>
      </c>
      <c r="E120" s="47" t="s">
        <v>307</v>
      </c>
      <c r="F120" s="49"/>
      <c r="G120" s="47" t="s">
        <v>35</v>
      </c>
      <c r="H120" s="97">
        <v>600</v>
      </c>
      <c r="I120" s="51">
        <v>90</v>
      </c>
      <c r="J120" s="49" t="s">
        <v>36</v>
      </c>
      <c r="K120" s="49" t="s">
        <v>536</v>
      </c>
      <c r="L120" s="1"/>
      <c r="O120" s="4"/>
      <c r="P120" s="1"/>
    </row>
    <row r="121" spans="1:16" ht="15.75" customHeight="1">
      <c r="A121" s="96">
        <v>18</v>
      </c>
      <c r="B121" s="47" t="s">
        <v>1522</v>
      </c>
      <c r="C121" s="47" t="s">
        <v>227</v>
      </c>
      <c r="D121" s="47" t="s">
        <v>32</v>
      </c>
      <c r="E121" s="47" t="s">
        <v>307</v>
      </c>
      <c r="F121" s="49"/>
      <c r="G121" s="47" t="s">
        <v>35</v>
      </c>
      <c r="H121" s="97">
        <v>1500</v>
      </c>
      <c r="I121" s="51">
        <v>225</v>
      </c>
      <c r="J121" s="49" t="s">
        <v>36</v>
      </c>
      <c r="K121" s="49" t="s">
        <v>536</v>
      </c>
      <c r="L121" s="1"/>
      <c r="O121" s="4"/>
      <c r="P121" s="1"/>
    </row>
    <row r="122" spans="1:16" ht="15.75" customHeight="1">
      <c r="A122" s="96">
        <v>18</v>
      </c>
      <c r="B122" s="47" t="s">
        <v>1522</v>
      </c>
      <c r="C122" s="47" t="s">
        <v>227</v>
      </c>
      <c r="D122" s="47" t="s">
        <v>32</v>
      </c>
      <c r="E122" s="47" t="s">
        <v>307</v>
      </c>
      <c r="F122" s="49"/>
      <c r="G122" s="47" t="s">
        <v>35</v>
      </c>
      <c r="H122" s="97">
        <v>500</v>
      </c>
      <c r="I122" s="51"/>
      <c r="J122" s="49" t="s">
        <v>36</v>
      </c>
      <c r="K122" s="49" t="s">
        <v>536</v>
      </c>
      <c r="L122" s="4"/>
      <c r="O122" s="1"/>
      <c r="P122" s="1"/>
    </row>
    <row r="123" spans="1:16" ht="15.75" customHeight="1">
      <c r="A123" s="96">
        <v>18</v>
      </c>
      <c r="B123" s="47" t="s">
        <v>1523</v>
      </c>
      <c r="C123" s="47" t="s">
        <v>227</v>
      </c>
      <c r="D123" s="47" t="s">
        <v>304</v>
      </c>
      <c r="E123" s="47" t="s">
        <v>241</v>
      </c>
      <c r="F123" s="49"/>
      <c r="G123" s="47" t="s">
        <v>35</v>
      </c>
      <c r="H123" s="97">
        <v>500</v>
      </c>
      <c r="I123" s="51"/>
      <c r="J123" s="49" t="s">
        <v>43</v>
      </c>
      <c r="K123" s="49" t="s">
        <v>536</v>
      </c>
      <c r="L123" s="1"/>
      <c r="O123" s="4"/>
      <c r="P123" s="1"/>
    </row>
    <row r="124" spans="1:16" ht="15.75" customHeight="1">
      <c r="A124" s="96">
        <v>18</v>
      </c>
      <c r="B124" s="47" t="s">
        <v>1524</v>
      </c>
      <c r="C124" s="47" t="s">
        <v>246</v>
      </c>
      <c r="D124" s="47" t="s">
        <v>304</v>
      </c>
      <c r="E124" s="47" t="s">
        <v>241</v>
      </c>
      <c r="F124" s="49"/>
      <c r="G124" s="47" t="s">
        <v>35</v>
      </c>
      <c r="H124" s="97">
        <v>500</v>
      </c>
      <c r="I124" s="51"/>
      <c r="J124" s="49" t="s">
        <v>43</v>
      </c>
      <c r="K124" s="49" t="s">
        <v>536</v>
      </c>
      <c r="L124" s="1"/>
      <c r="O124" s="4"/>
      <c r="P124" s="1"/>
    </row>
    <row r="125" spans="1:16" ht="15.75" customHeight="1">
      <c r="A125" s="96">
        <v>18</v>
      </c>
      <c r="B125" s="47" t="s">
        <v>1525</v>
      </c>
      <c r="C125" s="47" t="s">
        <v>246</v>
      </c>
      <c r="D125" s="47" t="s">
        <v>304</v>
      </c>
      <c r="E125" s="47" t="s">
        <v>241</v>
      </c>
      <c r="F125" s="49"/>
      <c r="G125" s="47" t="s">
        <v>35</v>
      </c>
      <c r="H125" s="97">
        <v>500</v>
      </c>
      <c r="I125" s="51"/>
      <c r="J125" s="49" t="s">
        <v>43</v>
      </c>
      <c r="K125" s="49" t="s">
        <v>536</v>
      </c>
      <c r="L125" s="1"/>
      <c r="O125" s="4"/>
      <c r="P125" s="1"/>
    </row>
    <row r="126" spans="1:16" ht="15.75" customHeight="1">
      <c r="A126" s="96">
        <v>18</v>
      </c>
      <c r="B126" s="47" t="s">
        <v>1526</v>
      </c>
      <c r="C126" s="47" t="s">
        <v>246</v>
      </c>
      <c r="D126" s="47" t="s">
        <v>304</v>
      </c>
      <c r="E126" s="47" t="s">
        <v>241</v>
      </c>
      <c r="F126" s="49"/>
      <c r="G126" s="47" t="s">
        <v>35</v>
      </c>
      <c r="H126" s="97">
        <v>500</v>
      </c>
      <c r="I126" s="51"/>
      <c r="J126" s="49" t="s">
        <v>43</v>
      </c>
      <c r="K126" s="49" t="s">
        <v>536</v>
      </c>
      <c r="L126" s="1"/>
      <c r="O126" s="4"/>
      <c r="P126" s="1"/>
    </row>
    <row r="127" spans="1:16" ht="15.75" customHeight="1">
      <c r="A127" s="96">
        <v>18</v>
      </c>
      <c r="B127" s="47" t="s">
        <v>1527</v>
      </c>
      <c r="C127" s="47" t="s">
        <v>227</v>
      </c>
      <c r="D127" s="47" t="s">
        <v>423</v>
      </c>
      <c r="E127" s="47" t="s">
        <v>248</v>
      </c>
      <c r="F127" s="49"/>
      <c r="G127" s="47" t="s">
        <v>35</v>
      </c>
      <c r="H127" s="97">
        <v>2500</v>
      </c>
      <c r="I127" s="51">
        <v>375</v>
      </c>
      <c r="J127" s="49" t="s">
        <v>36</v>
      </c>
      <c r="K127" s="49" t="s">
        <v>536</v>
      </c>
      <c r="L127" s="4"/>
      <c r="O127" s="4"/>
      <c r="P127" s="1"/>
    </row>
    <row r="128" spans="1:16" ht="15.75" customHeight="1">
      <c r="A128" s="96">
        <v>18</v>
      </c>
      <c r="B128" s="47" t="s">
        <v>1528</v>
      </c>
      <c r="C128" s="47" t="s">
        <v>227</v>
      </c>
      <c r="D128" s="47" t="s">
        <v>423</v>
      </c>
      <c r="E128" s="47" t="s">
        <v>248</v>
      </c>
      <c r="F128" s="49"/>
      <c r="G128" s="47" t="s">
        <v>35</v>
      </c>
      <c r="H128" s="97">
        <v>300</v>
      </c>
      <c r="I128" s="51">
        <v>45</v>
      </c>
      <c r="J128" s="49" t="s">
        <v>36</v>
      </c>
      <c r="K128" s="49" t="s">
        <v>536</v>
      </c>
      <c r="L128" s="1"/>
      <c r="O128" s="4"/>
      <c r="P128" s="1"/>
    </row>
    <row r="129" spans="1:16" ht="15.75" customHeight="1">
      <c r="A129" s="96">
        <v>19</v>
      </c>
      <c r="B129" s="47" t="s">
        <v>1529</v>
      </c>
      <c r="C129" s="47" t="s">
        <v>227</v>
      </c>
      <c r="D129" s="47" t="s">
        <v>768</v>
      </c>
      <c r="E129" s="47" t="s">
        <v>251</v>
      </c>
      <c r="F129" s="49"/>
      <c r="G129" s="47" t="s">
        <v>35</v>
      </c>
      <c r="H129" s="97">
        <v>200</v>
      </c>
      <c r="I129" s="51">
        <v>30</v>
      </c>
      <c r="J129" s="49" t="s">
        <v>36</v>
      </c>
      <c r="K129" s="49" t="s">
        <v>536</v>
      </c>
      <c r="L129" s="1"/>
      <c r="O129" s="4"/>
      <c r="P129" s="1"/>
    </row>
    <row r="130" spans="1:16" ht="15.75" customHeight="1">
      <c r="A130" s="96">
        <v>19</v>
      </c>
      <c r="B130" s="47" t="s">
        <v>1530</v>
      </c>
      <c r="C130" s="47" t="s">
        <v>227</v>
      </c>
      <c r="D130" s="47" t="s">
        <v>598</v>
      </c>
      <c r="E130" s="47" t="s">
        <v>232</v>
      </c>
      <c r="F130" s="49"/>
      <c r="G130" s="47" t="s">
        <v>35</v>
      </c>
      <c r="H130" s="97">
        <v>800</v>
      </c>
      <c r="I130" s="51">
        <v>120</v>
      </c>
      <c r="J130" s="49" t="s">
        <v>36</v>
      </c>
      <c r="K130" s="49" t="s">
        <v>536</v>
      </c>
      <c r="L130" s="4"/>
      <c r="O130" s="4"/>
      <c r="P130" s="1"/>
    </row>
    <row r="131" spans="1:16" ht="15.75" customHeight="1">
      <c r="A131" s="96">
        <v>19</v>
      </c>
      <c r="B131" s="47" t="s">
        <v>1531</v>
      </c>
      <c r="C131" s="47" t="s">
        <v>227</v>
      </c>
      <c r="D131" s="47" t="s">
        <v>164</v>
      </c>
      <c r="E131" s="47" t="s">
        <v>321</v>
      </c>
      <c r="F131" s="49"/>
      <c r="G131" s="47" t="s">
        <v>35</v>
      </c>
      <c r="H131" s="97">
        <v>200</v>
      </c>
      <c r="I131" s="51">
        <v>30</v>
      </c>
      <c r="J131" s="49" t="s">
        <v>36</v>
      </c>
      <c r="K131" s="49" t="s">
        <v>536</v>
      </c>
      <c r="L131" s="4"/>
      <c r="O131" s="4"/>
      <c r="P131" s="1"/>
    </row>
    <row r="132" spans="1:16" ht="15.75" customHeight="1">
      <c r="A132" s="96">
        <v>19</v>
      </c>
      <c r="B132" s="47" t="s">
        <v>1532</v>
      </c>
      <c r="C132" s="47" t="s">
        <v>227</v>
      </c>
      <c r="D132" s="47" t="s">
        <v>295</v>
      </c>
      <c r="E132" s="47" t="s">
        <v>248</v>
      </c>
      <c r="F132" s="49"/>
      <c r="G132" s="47" t="s">
        <v>35</v>
      </c>
      <c r="H132" s="97">
        <v>2500</v>
      </c>
      <c r="I132" s="51">
        <v>375</v>
      </c>
      <c r="J132" s="49" t="s">
        <v>36</v>
      </c>
      <c r="K132" s="49" t="s">
        <v>536</v>
      </c>
      <c r="L132" s="4"/>
      <c r="O132" s="4"/>
      <c r="P132" s="1"/>
    </row>
    <row r="133" spans="1:16" ht="15.75" customHeight="1">
      <c r="A133" s="96">
        <v>19</v>
      </c>
      <c r="B133" s="47" t="s">
        <v>1533</v>
      </c>
      <c r="C133" s="47" t="s">
        <v>227</v>
      </c>
      <c r="D133" s="47" t="s">
        <v>1534</v>
      </c>
      <c r="E133" s="47" t="s">
        <v>507</v>
      </c>
      <c r="F133" s="49"/>
      <c r="G133" s="47" t="s">
        <v>35</v>
      </c>
      <c r="H133" s="97">
        <v>700</v>
      </c>
      <c r="I133" s="51">
        <v>105</v>
      </c>
      <c r="J133" s="49" t="s">
        <v>36</v>
      </c>
      <c r="K133" s="49" t="s">
        <v>536</v>
      </c>
      <c r="L133" s="1"/>
      <c r="O133" s="4"/>
      <c r="P133" s="1"/>
    </row>
    <row r="134" spans="1:16" ht="15.75" customHeight="1">
      <c r="A134" s="96">
        <v>20</v>
      </c>
      <c r="B134" s="47" t="s">
        <v>1535</v>
      </c>
      <c r="C134" s="47" t="s">
        <v>227</v>
      </c>
      <c r="D134" s="47" t="s">
        <v>320</v>
      </c>
      <c r="E134" s="47" t="s">
        <v>321</v>
      </c>
      <c r="F134" s="49"/>
      <c r="G134" s="47" t="s">
        <v>35</v>
      </c>
      <c r="H134" s="97">
        <v>1000</v>
      </c>
      <c r="I134" s="51">
        <v>150</v>
      </c>
      <c r="J134" s="49" t="s">
        <v>36</v>
      </c>
      <c r="K134" s="49" t="s">
        <v>536</v>
      </c>
      <c r="L134" s="4"/>
      <c r="O134" s="4"/>
      <c r="P134" s="1"/>
    </row>
    <row r="135" spans="1:16" ht="15.75" customHeight="1">
      <c r="A135" s="96">
        <v>20</v>
      </c>
      <c r="B135" s="47" t="s">
        <v>1536</v>
      </c>
      <c r="C135" s="47" t="s">
        <v>227</v>
      </c>
      <c r="D135" s="47" t="s">
        <v>819</v>
      </c>
      <c r="E135" s="47" t="s">
        <v>232</v>
      </c>
      <c r="F135" s="49"/>
      <c r="G135" s="47" t="s">
        <v>35</v>
      </c>
      <c r="H135" s="97">
        <v>700</v>
      </c>
      <c r="I135" s="51">
        <v>105</v>
      </c>
      <c r="J135" s="49" t="s">
        <v>36</v>
      </c>
      <c r="K135" s="49" t="s">
        <v>536</v>
      </c>
      <c r="L135" s="4"/>
      <c r="O135" s="4"/>
      <c r="P135" s="1"/>
    </row>
    <row r="136" spans="1:16" ht="15.75" customHeight="1">
      <c r="A136" s="96">
        <v>20</v>
      </c>
      <c r="B136" s="47" t="s">
        <v>1537</v>
      </c>
      <c r="C136" s="47" t="s">
        <v>246</v>
      </c>
      <c r="D136" s="47" t="s">
        <v>556</v>
      </c>
      <c r="E136" s="47" t="s">
        <v>232</v>
      </c>
      <c r="F136" s="49"/>
      <c r="G136" s="47" t="s">
        <v>35</v>
      </c>
      <c r="H136" s="97">
        <v>1500</v>
      </c>
      <c r="I136" s="51">
        <v>225</v>
      </c>
      <c r="J136" s="49" t="s">
        <v>36</v>
      </c>
      <c r="K136" s="49" t="s">
        <v>536</v>
      </c>
      <c r="L136" s="4"/>
      <c r="O136" s="4"/>
      <c r="P136" s="1"/>
    </row>
    <row r="137" spans="1:16" ht="15.75" customHeight="1">
      <c r="A137" s="96">
        <v>21</v>
      </c>
      <c r="B137" s="47" t="s">
        <v>1538</v>
      </c>
      <c r="C137" s="47" t="s">
        <v>246</v>
      </c>
      <c r="D137" s="47" t="s">
        <v>934</v>
      </c>
      <c r="E137" s="47" t="s">
        <v>48</v>
      </c>
      <c r="F137" s="49"/>
      <c r="G137" s="47" t="s">
        <v>103</v>
      </c>
      <c r="H137" s="98" t="s">
        <v>1132</v>
      </c>
      <c r="I137" s="51">
        <v>800</v>
      </c>
      <c r="J137" s="49" t="s">
        <v>36</v>
      </c>
      <c r="K137" s="49" t="s">
        <v>536</v>
      </c>
      <c r="L137" s="4"/>
      <c r="O137" s="4"/>
      <c r="P137" s="1"/>
    </row>
    <row r="138" spans="1:16" ht="15.75" customHeight="1">
      <c r="A138" s="96">
        <v>21</v>
      </c>
      <c r="B138" s="47" t="s">
        <v>1539</v>
      </c>
      <c r="C138" s="47" t="s">
        <v>246</v>
      </c>
      <c r="D138" s="47"/>
      <c r="E138" s="47" t="s">
        <v>75</v>
      </c>
      <c r="F138" s="49"/>
      <c r="G138" s="47" t="s">
        <v>103</v>
      </c>
      <c r="H138" s="98" t="s">
        <v>1540</v>
      </c>
      <c r="I138" s="51">
        <v>2000</v>
      </c>
      <c r="J138" s="49" t="s">
        <v>36</v>
      </c>
      <c r="K138" s="49" t="s">
        <v>536</v>
      </c>
      <c r="L138" s="4"/>
      <c r="O138" s="4"/>
      <c r="P138" s="1"/>
    </row>
    <row r="139" spans="1:16" ht="15.75" customHeight="1">
      <c r="A139" s="96">
        <v>21</v>
      </c>
      <c r="B139" s="47" t="s">
        <v>1116</v>
      </c>
      <c r="C139" s="47" t="s">
        <v>246</v>
      </c>
      <c r="D139" s="47"/>
      <c r="E139" s="47" t="s">
        <v>75</v>
      </c>
      <c r="F139" s="49"/>
      <c r="G139" s="47" t="s">
        <v>103</v>
      </c>
      <c r="H139" s="98" t="s">
        <v>1541</v>
      </c>
      <c r="I139" s="51">
        <v>7200</v>
      </c>
      <c r="J139" s="49" t="s">
        <v>36</v>
      </c>
      <c r="K139" s="49" t="s">
        <v>536</v>
      </c>
      <c r="L139" s="4"/>
      <c r="O139" s="4"/>
      <c r="P139" s="1"/>
    </row>
    <row r="140" spans="1:16" ht="15.75" customHeight="1">
      <c r="A140" s="96">
        <v>21</v>
      </c>
      <c r="B140" s="47" t="s">
        <v>1542</v>
      </c>
      <c r="C140" s="47" t="s">
        <v>246</v>
      </c>
      <c r="D140" s="47"/>
      <c r="E140" s="47" t="s">
        <v>75</v>
      </c>
      <c r="F140" s="49"/>
      <c r="G140" s="47" t="s">
        <v>103</v>
      </c>
      <c r="H140" s="98" t="s">
        <v>1543</v>
      </c>
      <c r="I140" s="51">
        <v>4720</v>
      </c>
      <c r="J140" s="49" t="s">
        <v>36</v>
      </c>
      <c r="K140" s="49" t="s">
        <v>536</v>
      </c>
      <c r="L140" s="4"/>
      <c r="O140" s="4"/>
      <c r="P140" s="1"/>
    </row>
    <row r="141" spans="1:16" ht="15.75" customHeight="1">
      <c r="A141" s="96">
        <v>22</v>
      </c>
      <c r="B141" s="47" t="s">
        <v>1544</v>
      </c>
      <c r="C141" s="47" t="s">
        <v>227</v>
      </c>
      <c r="D141" s="47" t="s">
        <v>239</v>
      </c>
      <c r="E141" s="47" t="s">
        <v>232</v>
      </c>
      <c r="F141" s="49"/>
      <c r="G141" s="47" t="s">
        <v>35</v>
      </c>
      <c r="H141" s="97">
        <v>100</v>
      </c>
      <c r="I141" s="51">
        <v>15</v>
      </c>
      <c r="J141" s="49" t="s">
        <v>36</v>
      </c>
      <c r="K141" s="49" t="s">
        <v>536</v>
      </c>
      <c r="L141" s="4"/>
      <c r="O141" s="4"/>
      <c r="P141" s="1"/>
    </row>
    <row r="142" spans="1:16" ht="15.75" customHeight="1">
      <c r="A142" s="96">
        <v>23</v>
      </c>
      <c r="B142" s="47" t="s">
        <v>1545</v>
      </c>
      <c r="C142" s="47" t="s">
        <v>227</v>
      </c>
      <c r="D142" s="47" t="s">
        <v>407</v>
      </c>
      <c r="E142" s="47" t="s">
        <v>307</v>
      </c>
      <c r="F142" s="49"/>
      <c r="G142" s="47" t="s">
        <v>35</v>
      </c>
      <c r="H142" s="97">
        <v>200</v>
      </c>
      <c r="I142" s="51">
        <v>30</v>
      </c>
      <c r="J142" s="49" t="s">
        <v>36</v>
      </c>
      <c r="K142" s="49" t="s">
        <v>536</v>
      </c>
      <c r="L142" s="4"/>
      <c r="O142" s="4"/>
      <c r="P142" s="1"/>
    </row>
    <row r="143" spans="1:16" ht="15.75" customHeight="1">
      <c r="A143" s="96">
        <v>23</v>
      </c>
      <c r="B143" s="47" t="s">
        <v>1546</v>
      </c>
      <c r="C143" s="47" t="s">
        <v>227</v>
      </c>
      <c r="D143" s="47" t="s">
        <v>385</v>
      </c>
      <c r="E143" s="47" t="s">
        <v>307</v>
      </c>
      <c r="F143" s="49"/>
      <c r="G143" s="47" t="s">
        <v>35</v>
      </c>
      <c r="H143" s="97">
        <v>300</v>
      </c>
      <c r="I143" s="51">
        <v>75</v>
      </c>
      <c r="J143" s="49" t="s">
        <v>36</v>
      </c>
      <c r="K143" s="49" t="s">
        <v>536</v>
      </c>
      <c r="L143" s="4"/>
      <c r="O143" s="4"/>
      <c r="P143" s="1"/>
    </row>
    <row r="144" spans="1:16" ht="15.75" customHeight="1">
      <c r="A144" s="96">
        <v>23</v>
      </c>
      <c r="B144" s="47" t="s">
        <v>1352</v>
      </c>
      <c r="C144" s="47" t="s">
        <v>227</v>
      </c>
      <c r="D144" s="47" t="s">
        <v>1547</v>
      </c>
      <c r="E144" s="47" t="s">
        <v>232</v>
      </c>
      <c r="F144" s="49"/>
      <c r="G144" s="47" t="s">
        <v>35</v>
      </c>
      <c r="H144" s="97">
        <v>100</v>
      </c>
      <c r="I144" s="51">
        <v>25</v>
      </c>
      <c r="J144" s="49" t="s">
        <v>36</v>
      </c>
      <c r="K144" s="49" t="s">
        <v>536</v>
      </c>
      <c r="L144" s="4"/>
      <c r="O144" s="4"/>
      <c r="P144" s="1"/>
    </row>
    <row r="145" spans="1:16" ht="15.75" customHeight="1">
      <c r="A145" s="96">
        <v>23</v>
      </c>
      <c r="B145" s="47" t="s">
        <v>1548</v>
      </c>
      <c r="C145" s="47" t="s">
        <v>227</v>
      </c>
      <c r="D145" s="47" t="s">
        <v>1549</v>
      </c>
      <c r="E145" s="47" t="s">
        <v>600</v>
      </c>
      <c r="F145" s="49"/>
      <c r="G145" s="47" t="s">
        <v>35</v>
      </c>
      <c r="H145" s="97">
        <v>1000</v>
      </c>
      <c r="I145" s="51">
        <v>150</v>
      </c>
      <c r="J145" s="49" t="s">
        <v>36</v>
      </c>
      <c r="K145" s="49" t="s">
        <v>536</v>
      </c>
      <c r="L145" s="4"/>
      <c r="O145" s="4"/>
      <c r="P145" s="1"/>
    </row>
    <row r="146" spans="1:16" ht="15.75" customHeight="1">
      <c r="A146" s="96">
        <v>23</v>
      </c>
      <c r="B146" s="47" t="s">
        <v>1550</v>
      </c>
      <c r="C146" s="47" t="s">
        <v>227</v>
      </c>
      <c r="D146" s="47" t="s">
        <v>679</v>
      </c>
      <c r="E146" s="47" t="s">
        <v>232</v>
      </c>
      <c r="F146" s="49"/>
      <c r="G146" s="47" t="s">
        <v>35</v>
      </c>
      <c r="H146" s="97">
        <v>15000</v>
      </c>
      <c r="I146" s="51">
        <v>2250</v>
      </c>
      <c r="J146" s="49" t="s">
        <v>36</v>
      </c>
      <c r="K146" s="49" t="s">
        <v>536</v>
      </c>
      <c r="L146" s="4"/>
      <c r="O146" s="4"/>
      <c r="P146" s="1"/>
    </row>
    <row r="147" spans="1:16" ht="15.75" customHeight="1">
      <c r="A147" s="96">
        <v>23</v>
      </c>
      <c r="B147" s="47" t="s">
        <v>1551</v>
      </c>
      <c r="C147" s="47" t="s">
        <v>227</v>
      </c>
      <c r="D147" s="47" t="s">
        <v>1552</v>
      </c>
      <c r="E147" s="47" t="s">
        <v>164</v>
      </c>
      <c r="F147" s="49"/>
      <c r="G147" s="47" t="s">
        <v>242</v>
      </c>
      <c r="H147" s="97">
        <v>10</v>
      </c>
      <c r="I147" s="51">
        <v>30</v>
      </c>
      <c r="J147" s="49" t="s">
        <v>36</v>
      </c>
      <c r="K147" s="49" t="s">
        <v>536</v>
      </c>
      <c r="L147" s="4"/>
      <c r="O147" s="4"/>
      <c r="P147" s="1"/>
    </row>
    <row r="148" spans="1:16" ht="15.75" customHeight="1">
      <c r="A148" s="96">
        <v>23</v>
      </c>
      <c r="B148" s="47" t="s">
        <v>1553</v>
      </c>
      <c r="C148" s="47" t="s">
        <v>227</v>
      </c>
      <c r="D148" s="47" t="s">
        <v>619</v>
      </c>
      <c r="E148" s="47" t="s">
        <v>193</v>
      </c>
      <c r="F148" s="49"/>
      <c r="G148" s="47" t="s">
        <v>35</v>
      </c>
      <c r="H148" s="97">
        <v>3500</v>
      </c>
      <c r="I148" s="51">
        <v>525</v>
      </c>
      <c r="J148" s="49" t="s">
        <v>36</v>
      </c>
      <c r="K148" s="49" t="s">
        <v>536</v>
      </c>
      <c r="L148" s="4"/>
      <c r="O148" s="4"/>
      <c r="P148" s="1"/>
    </row>
    <row r="149" spans="1:16" ht="15.75" customHeight="1">
      <c r="A149" s="96">
        <v>23</v>
      </c>
      <c r="B149" s="47" t="s">
        <v>1554</v>
      </c>
      <c r="C149" s="47" t="s">
        <v>227</v>
      </c>
      <c r="D149" s="47" t="s">
        <v>864</v>
      </c>
      <c r="E149" s="47" t="s">
        <v>51</v>
      </c>
      <c r="F149" s="49"/>
      <c r="G149" s="47" t="s">
        <v>35</v>
      </c>
      <c r="H149" s="97">
        <v>2000</v>
      </c>
      <c r="I149" s="51">
        <v>300</v>
      </c>
      <c r="J149" s="49" t="s">
        <v>36</v>
      </c>
      <c r="K149" s="49" t="s">
        <v>536</v>
      </c>
      <c r="L149" s="4"/>
      <c r="O149" s="4"/>
      <c r="P149" s="1"/>
    </row>
    <row r="150" spans="1:16" ht="15.75" customHeight="1">
      <c r="A150" s="96">
        <v>23</v>
      </c>
      <c r="B150" s="47" t="s">
        <v>1555</v>
      </c>
      <c r="C150" s="47" t="s">
        <v>227</v>
      </c>
      <c r="D150" s="47" t="s">
        <v>1556</v>
      </c>
      <c r="E150" s="47" t="s">
        <v>232</v>
      </c>
      <c r="F150" s="49"/>
      <c r="G150" s="47" t="s">
        <v>35</v>
      </c>
      <c r="H150" s="97">
        <v>4000</v>
      </c>
      <c r="I150" s="51">
        <v>600</v>
      </c>
      <c r="J150" s="49" t="s">
        <v>36</v>
      </c>
      <c r="K150" s="49" t="s">
        <v>536</v>
      </c>
      <c r="L150" s="4"/>
      <c r="O150" s="4"/>
      <c r="P150" s="1"/>
    </row>
    <row r="151" spans="1:16" ht="15.75" customHeight="1">
      <c r="A151" s="96">
        <v>24</v>
      </c>
      <c r="B151" s="47" t="s">
        <v>1257</v>
      </c>
      <c r="C151" s="47" t="s">
        <v>227</v>
      </c>
      <c r="D151" s="47" t="s">
        <v>758</v>
      </c>
      <c r="E151" s="47" t="s">
        <v>254</v>
      </c>
      <c r="F151" s="49"/>
      <c r="G151" s="47" t="s">
        <v>35</v>
      </c>
      <c r="H151" s="97">
        <v>100</v>
      </c>
      <c r="I151" s="51">
        <v>15</v>
      </c>
      <c r="J151" s="49" t="s">
        <v>36</v>
      </c>
      <c r="K151" s="49" t="s">
        <v>536</v>
      </c>
      <c r="L151" s="4"/>
      <c r="O151" s="4"/>
      <c r="P151" s="1"/>
    </row>
    <row r="152" spans="1:16" ht="15.75" customHeight="1">
      <c r="A152" s="96">
        <v>24</v>
      </c>
      <c r="B152" s="47" t="s">
        <v>1557</v>
      </c>
      <c r="C152" s="47" t="s">
        <v>227</v>
      </c>
      <c r="D152" s="47" t="s">
        <v>33</v>
      </c>
      <c r="E152" s="47" t="s">
        <v>241</v>
      </c>
      <c r="F152" s="49"/>
      <c r="G152" s="47" t="s">
        <v>35</v>
      </c>
      <c r="H152" s="97">
        <v>2000</v>
      </c>
      <c r="I152" s="51">
        <v>300</v>
      </c>
      <c r="J152" s="49" t="s">
        <v>36</v>
      </c>
      <c r="K152" s="49" t="s">
        <v>536</v>
      </c>
      <c r="L152" s="4"/>
      <c r="O152" s="4"/>
      <c r="P152" s="1"/>
    </row>
    <row r="153" spans="1:16" ht="15.75" customHeight="1">
      <c r="A153" s="96">
        <v>24</v>
      </c>
      <c r="B153" s="47" t="s">
        <v>1558</v>
      </c>
      <c r="C153" s="47" t="s">
        <v>227</v>
      </c>
      <c r="D153" s="47" t="s">
        <v>1288</v>
      </c>
      <c r="E153" s="47" t="s">
        <v>307</v>
      </c>
      <c r="F153" s="49"/>
      <c r="G153" s="47" t="s">
        <v>35</v>
      </c>
      <c r="H153" s="97">
        <v>100</v>
      </c>
      <c r="I153" s="51">
        <v>15</v>
      </c>
      <c r="J153" s="49" t="s">
        <v>36</v>
      </c>
      <c r="K153" s="49" t="s">
        <v>536</v>
      </c>
      <c r="L153" s="4"/>
      <c r="O153" s="4"/>
      <c r="P153" s="1"/>
    </row>
    <row r="154" spans="1:16" ht="15.75" customHeight="1">
      <c r="A154" s="96">
        <v>24</v>
      </c>
      <c r="B154" s="47" t="s">
        <v>1559</v>
      </c>
      <c r="C154" s="47" t="s">
        <v>227</v>
      </c>
      <c r="D154" s="47" t="s">
        <v>365</v>
      </c>
      <c r="E154" s="47" t="s">
        <v>232</v>
      </c>
      <c r="F154" s="49"/>
      <c r="G154" s="47" t="s">
        <v>35</v>
      </c>
      <c r="H154" s="97">
        <v>1500</v>
      </c>
      <c r="I154" s="51">
        <v>225</v>
      </c>
      <c r="J154" s="49" t="s">
        <v>36</v>
      </c>
      <c r="K154" s="49" t="s">
        <v>536</v>
      </c>
      <c r="L154" s="4"/>
      <c r="O154" s="4"/>
      <c r="P154" s="1"/>
    </row>
    <row r="155" spans="1:16" ht="15.75" customHeight="1">
      <c r="A155" s="96">
        <v>24</v>
      </c>
      <c r="B155" s="47" t="s">
        <v>1560</v>
      </c>
      <c r="C155" s="47" t="s">
        <v>227</v>
      </c>
      <c r="D155" s="47" t="s">
        <v>277</v>
      </c>
      <c r="E155" s="47" t="s">
        <v>232</v>
      </c>
      <c r="F155" s="49"/>
      <c r="G155" s="47" t="s">
        <v>35</v>
      </c>
      <c r="H155" s="97">
        <v>1100</v>
      </c>
      <c r="I155" s="51">
        <v>165</v>
      </c>
      <c r="J155" s="49" t="s">
        <v>36</v>
      </c>
      <c r="K155" s="49" t="s">
        <v>536</v>
      </c>
      <c r="L155" s="4"/>
      <c r="O155" s="4"/>
      <c r="P155" s="1"/>
    </row>
    <row r="156" spans="1:16" ht="15.75" customHeight="1">
      <c r="A156" s="96">
        <v>24</v>
      </c>
      <c r="B156" s="47" t="s">
        <v>1561</v>
      </c>
      <c r="C156" s="47" t="s">
        <v>227</v>
      </c>
      <c r="D156" s="47" t="s">
        <v>1190</v>
      </c>
      <c r="E156" s="47" t="s">
        <v>241</v>
      </c>
      <c r="F156" s="49"/>
      <c r="G156" s="47" t="s">
        <v>35</v>
      </c>
      <c r="H156" s="97">
        <v>2000</v>
      </c>
      <c r="I156" s="51">
        <v>300</v>
      </c>
      <c r="J156" s="49" t="s">
        <v>36</v>
      </c>
      <c r="K156" s="49" t="s">
        <v>536</v>
      </c>
      <c r="L156" s="4"/>
      <c r="O156" s="4"/>
      <c r="P156" s="1"/>
    </row>
    <row r="157" spans="1:16" ht="15.75" customHeight="1">
      <c r="A157" s="96">
        <v>25</v>
      </c>
      <c r="B157" s="47" t="s">
        <v>1562</v>
      </c>
      <c r="C157" s="47" t="s">
        <v>227</v>
      </c>
      <c r="D157" s="47" t="s">
        <v>736</v>
      </c>
      <c r="E157" s="47" t="s">
        <v>232</v>
      </c>
      <c r="F157" s="49"/>
      <c r="G157" s="47" t="s">
        <v>35</v>
      </c>
      <c r="H157" s="97">
        <v>10000</v>
      </c>
      <c r="I157" s="51">
        <v>1500</v>
      </c>
      <c r="J157" s="49" t="s">
        <v>36</v>
      </c>
      <c r="K157" s="49" t="s">
        <v>536</v>
      </c>
      <c r="L157" s="4"/>
      <c r="O157" s="4"/>
      <c r="P157" s="1"/>
    </row>
    <row r="158" spans="1:16" ht="15.75" customHeight="1">
      <c r="A158" s="96">
        <v>25</v>
      </c>
      <c r="B158" s="47" t="s">
        <v>1563</v>
      </c>
      <c r="C158" s="47" t="s">
        <v>227</v>
      </c>
      <c r="D158" s="47" t="s">
        <v>1564</v>
      </c>
      <c r="E158" s="47" t="s">
        <v>152</v>
      </c>
      <c r="F158" s="49"/>
      <c r="G158" s="47" t="s">
        <v>35</v>
      </c>
      <c r="H158" s="97">
        <v>1000</v>
      </c>
      <c r="I158" s="51">
        <v>150</v>
      </c>
      <c r="J158" s="49" t="s">
        <v>36</v>
      </c>
      <c r="K158" s="49" t="s">
        <v>536</v>
      </c>
      <c r="L158" s="4"/>
      <c r="O158" s="4"/>
      <c r="P158" s="1"/>
    </row>
    <row r="159" spans="1:16" ht="15.75" customHeight="1">
      <c r="A159" s="96">
        <v>25</v>
      </c>
      <c r="B159" s="47" t="s">
        <v>327</v>
      </c>
      <c r="C159" s="47" t="s">
        <v>227</v>
      </c>
      <c r="D159" s="47" t="s">
        <v>33</v>
      </c>
      <c r="E159" s="47" t="s">
        <v>199</v>
      </c>
      <c r="F159" s="49"/>
      <c r="G159" s="47" t="s">
        <v>35</v>
      </c>
      <c r="H159" s="97">
        <v>28000</v>
      </c>
      <c r="I159" s="51">
        <v>4200</v>
      </c>
      <c r="J159" s="49" t="s">
        <v>36</v>
      </c>
      <c r="K159" s="49" t="s">
        <v>536</v>
      </c>
      <c r="L159" s="4"/>
      <c r="O159" s="4"/>
      <c r="P159" s="1"/>
    </row>
    <row r="160" spans="1:16" ht="15.75" customHeight="1">
      <c r="A160" s="96">
        <v>25</v>
      </c>
      <c r="B160" s="47" t="s">
        <v>1565</v>
      </c>
      <c r="C160" s="47" t="s">
        <v>227</v>
      </c>
      <c r="D160" s="47" t="s">
        <v>1566</v>
      </c>
      <c r="E160" s="47" t="s">
        <v>321</v>
      </c>
      <c r="F160" s="49"/>
      <c r="G160" s="47" t="s">
        <v>35</v>
      </c>
      <c r="H160" s="97">
        <v>8000</v>
      </c>
      <c r="I160" s="51">
        <v>1200</v>
      </c>
      <c r="J160" s="49" t="s">
        <v>36</v>
      </c>
      <c r="K160" s="49" t="s">
        <v>536</v>
      </c>
      <c r="L160" s="4"/>
      <c r="O160" s="4"/>
      <c r="P160" s="1"/>
    </row>
    <row r="161" spans="1:16" ht="15.75" customHeight="1">
      <c r="A161" s="96">
        <v>25</v>
      </c>
      <c r="B161" s="47" t="s">
        <v>1567</v>
      </c>
      <c r="C161" s="47" t="s">
        <v>227</v>
      </c>
      <c r="D161" s="47" t="s">
        <v>1568</v>
      </c>
      <c r="E161" s="47" t="s">
        <v>152</v>
      </c>
      <c r="F161" s="49"/>
      <c r="G161" s="47" t="s">
        <v>35</v>
      </c>
      <c r="H161" s="97">
        <v>600</v>
      </c>
      <c r="I161" s="51">
        <v>90</v>
      </c>
      <c r="J161" s="49" t="s">
        <v>36</v>
      </c>
      <c r="K161" s="49" t="s">
        <v>536</v>
      </c>
      <c r="L161" s="4"/>
      <c r="O161" s="4"/>
      <c r="P161" s="1"/>
    </row>
    <row r="162" spans="1:16" ht="15.75" customHeight="1">
      <c r="A162" s="96">
        <v>25</v>
      </c>
      <c r="B162" s="47" t="s">
        <v>1569</v>
      </c>
      <c r="C162" s="47" t="s">
        <v>227</v>
      </c>
      <c r="D162" s="47" t="s">
        <v>598</v>
      </c>
      <c r="E162" s="47" t="s">
        <v>232</v>
      </c>
      <c r="F162" s="49"/>
      <c r="G162" s="47" t="s">
        <v>35</v>
      </c>
      <c r="H162" s="97">
        <v>600</v>
      </c>
      <c r="I162" s="51">
        <v>90</v>
      </c>
      <c r="J162" s="49" t="s">
        <v>36</v>
      </c>
      <c r="K162" s="49" t="s">
        <v>536</v>
      </c>
      <c r="L162" s="4"/>
      <c r="O162" s="4"/>
      <c r="P162" s="1"/>
    </row>
    <row r="163" spans="1:16" ht="15.75" customHeight="1">
      <c r="A163" s="96">
        <v>25</v>
      </c>
      <c r="B163" s="47" t="s">
        <v>1570</v>
      </c>
      <c r="C163" s="47" t="s">
        <v>227</v>
      </c>
      <c r="D163" s="47" t="s">
        <v>772</v>
      </c>
      <c r="E163" s="47" t="s">
        <v>232</v>
      </c>
      <c r="F163" s="49"/>
      <c r="G163" s="47" t="s">
        <v>35</v>
      </c>
      <c r="H163" s="97">
        <v>2000</v>
      </c>
      <c r="I163" s="51">
        <v>300</v>
      </c>
      <c r="J163" s="49" t="s">
        <v>36</v>
      </c>
      <c r="K163" s="49" t="s">
        <v>536</v>
      </c>
      <c r="L163" s="4"/>
      <c r="O163" s="4"/>
      <c r="P163" s="1"/>
    </row>
    <row r="164" spans="1:16" ht="15.75" customHeight="1">
      <c r="A164" s="96">
        <v>25</v>
      </c>
      <c r="B164" s="47" t="s">
        <v>542</v>
      </c>
      <c r="C164" s="47" t="s">
        <v>227</v>
      </c>
      <c r="D164" s="47" t="s">
        <v>354</v>
      </c>
      <c r="E164" s="47" t="s">
        <v>251</v>
      </c>
      <c r="F164" s="49"/>
      <c r="G164" s="47" t="s">
        <v>103</v>
      </c>
      <c r="H164" s="98" t="s">
        <v>1571</v>
      </c>
      <c r="I164" s="51">
        <v>3100</v>
      </c>
      <c r="J164" s="49" t="s">
        <v>36</v>
      </c>
      <c r="K164" s="49" t="s">
        <v>536</v>
      </c>
      <c r="L164" s="4"/>
      <c r="O164" s="4"/>
      <c r="P164" s="1"/>
    </row>
    <row r="165" spans="1:16" ht="15.75" customHeight="1">
      <c r="A165" s="96">
        <v>26</v>
      </c>
      <c r="B165" s="47" t="s">
        <v>1572</v>
      </c>
      <c r="C165" s="47" t="s">
        <v>246</v>
      </c>
      <c r="D165" s="47" t="s">
        <v>323</v>
      </c>
      <c r="E165" s="47" t="s">
        <v>232</v>
      </c>
      <c r="F165" s="49"/>
      <c r="G165" s="47" t="s">
        <v>35</v>
      </c>
      <c r="H165" s="97">
        <v>500</v>
      </c>
      <c r="I165" s="51">
        <v>75</v>
      </c>
      <c r="J165" s="49" t="s">
        <v>36</v>
      </c>
      <c r="K165" s="49" t="s">
        <v>536</v>
      </c>
      <c r="L165" s="4"/>
      <c r="O165" s="4"/>
      <c r="P165" s="1"/>
    </row>
    <row r="166" spans="1:16" ht="15.75" customHeight="1">
      <c r="A166" s="96">
        <v>26</v>
      </c>
      <c r="B166" s="47" t="s">
        <v>1573</v>
      </c>
      <c r="C166" s="47" t="s">
        <v>227</v>
      </c>
      <c r="D166" s="47" t="s">
        <v>740</v>
      </c>
      <c r="E166" s="47" t="s">
        <v>251</v>
      </c>
      <c r="F166" s="49"/>
      <c r="G166" s="47" t="s">
        <v>35</v>
      </c>
      <c r="H166" s="97">
        <v>300</v>
      </c>
      <c r="I166" s="51">
        <v>45</v>
      </c>
      <c r="J166" s="49" t="s">
        <v>36</v>
      </c>
      <c r="K166" s="49" t="s">
        <v>536</v>
      </c>
      <c r="L166" s="4"/>
      <c r="O166" s="4"/>
      <c r="P166" s="1"/>
    </row>
    <row r="167" spans="1:16" ht="15.75" customHeight="1">
      <c r="A167" s="96">
        <v>26</v>
      </c>
      <c r="B167" s="47" t="s">
        <v>1574</v>
      </c>
      <c r="C167" s="47" t="s">
        <v>227</v>
      </c>
      <c r="D167" s="47" t="s">
        <v>760</v>
      </c>
      <c r="E167" s="47" t="s">
        <v>241</v>
      </c>
      <c r="F167" s="49"/>
      <c r="G167" s="47" t="s">
        <v>35</v>
      </c>
      <c r="H167" s="97">
        <v>2500</v>
      </c>
      <c r="I167" s="51">
        <v>375</v>
      </c>
      <c r="J167" s="49" t="s">
        <v>36</v>
      </c>
      <c r="K167" s="49" t="s">
        <v>536</v>
      </c>
      <c r="L167" s="4"/>
      <c r="O167" s="4"/>
      <c r="P167" s="1"/>
    </row>
    <row r="168" spans="1:16" ht="15.75" customHeight="1">
      <c r="A168" s="96">
        <v>26</v>
      </c>
      <c r="B168" s="47" t="s">
        <v>1574</v>
      </c>
      <c r="C168" s="47" t="s">
        <v>227</v>
      </c>
      <c r="D168" s="47" t="s">
        <v>760</v>
      </c>
      <c r="E168" s="47" t="s">
        <v>241</v>
      </c>
      <c r="F168" s="49"/>
      <c r="G168" s="47" t="s">
        <v>35</v>
      </c>
      <c r="H168" s="97">
        <v>500</v>
      </c>
      <c r="I168" s="51"/>
      <c r="J168" s="49" t="s">
        <v>43</v>
      </c>
      <c r="K168" s="49" t="s">
        <v>536</v>
      </c>
      <c r="L168" s="4"/>
      <c r="O168" s="4"/>
      <c r="P168" s="1"/>
    </row>
    <row r="169" spans="1:16" ht="15.75" customHeight="1">
      <c r="A169" s="96">
        <v>26</v>
      </c>
      <c r="B169" s="47" t="s">
        <v>1575</v>
      </c>
      <c r="C169" s="47" t="s">
        <v>227</v>
      </c>
      <c r="D169" s="47" t="s">
        <v>277</v>
      </c>
      <c r="E169" s="47" t="s">
        <v>232</v>
      </c>
      <c r="F169" s="49"/>
      <c r="G169" s="47" t="s">
        <v>35</v>
      </c>
      <c r="H169" s="97">
        <v>1000</v>
      </c>
      <c r="I169" s="51">
        <v>150</v>
      </c>
      <c r="J169" s="49" t="s">
        <v>36</v>
      </c>
      <c r="K169" s="49" t="s">
        <v>536</v>
      </c>
      <c r="L169" s="4"/>
      <c r="O169" s="4"/>
      <c r="P169" s="1"/>
    </row>
    <row r="170" spans="1:16" ht="15.75" customHeight="1">
      <c r="A170" s="96">
        <v>26</v>
      </c>
      <c r="B170" s="47" t="s">
        <v>1575</v>
      </c>
      <c r="C170" s="47" t="s">
        <v>227</v>
      </c>
      <c r="D170" s="47" t="s">
        <v>277</v>
      </c>
      <c r="E170" s="47" t="s">
        <v>232</v>
      </c>
      <c r="F170" s="49"/>
      <c r="G170" s="47" t="s">
        <v>35</v>
      </c>
      <c r="H170" s="97">
        <v>500</v>
      </c>
      <c r="I170" s="51"/>
      <c r="J170" s="49" t="s">
        <v>43</v>
      </c>
      <c r="K170" s="49" t="s">
        <v>536</v>
      </c>
      <c r="L170" s="4"/>
      <c r="O170" s="4"/>
      <c r="P170" s="1"/>
    </row>
    <row r="171" spans="1:16" ht="15.75" customHeight="1">
      <c r="A171" s="96">
        <v>26</v>
      </c>
      <c r="B171" s="47" t="s">
        <v>1576</v>
      </c>
      <c r="C171" s="47" t="s">
        <v>227</v>
      </c>
      <c r="D171" s="47" t="s">
        <v>1577</v>
      </c>
      <c r="E171" s="47" t="s">
        <v>184</v>
      </c>
      <c r="F171" s="49"/>
      <c r="G171" s="47" t="s">
        <v>35</v>
      </c>
      <c r="H171" s="97">
        <v>1000</v>
      </c>
      <c r="I171" s="51">
        <v>150</v>
      </c>
      <c r="J171" s="49" t="s">
        <v>36</v>
      </c>
      <c r="K171" s="49" t="s">
        <v>536</v>
      </c>
      <c r="L171" s="4"/>
      <c r="O171" s="4"/>
      <c r="P171" s="1"/>
    </row>
    <row r="172" spans="1:16" ht="15.75" customHeight="1">
      <c r="A172" s="96">
        <v>26</v>
      </c>
      <c r="B172" s="47" t="s">
        <v>1578</v>
      </c>
      <c r="C172" s="47" t="s">
        <v>227</v>
      </c>
      <c r="D172" s="47" t="s">
        <v>604</v>
      </c>
      <c r="E172" s="47" t="s">
        <v>235</v>
      </c>
      <c r="F172" s="49"/>
      <c r="G172" s="47" t="s">
        <v>35</v>
      </c>
      <c r="H172" s="97">
        <v>200</v>
      </c>
      <c r="I172" s="51">
        <v>30</v>
      </c>
      <c r="J172" s="49" t="s">
        <v>36</v>
      </c>
      <c r="K172" s="49" t="s">
        <v>536</v>
      </c>
      <c r="L172" s="4"/>
      <c r="O172" s="4"/>
      <c r="P172" s="1"/>
    </row>
    <row r="173" spans="1:16" ht="15.75" customHeight="1">
      <c r="A173" s="96">
        <v>26</v>
      </c>
      <c r="B173" s="47" t="s">
        <v>1579</v>
      </c>
      <c r="C173" s="47" t="s">
        <v>227</v>
      </c>
      <c r="D173" s="47" t="s">
        <v>421</v>
      </c>
      <c r="E173" s="47" t="s">
        <v>251</v>
      </c>
      <c r="F173" s="49"/>
      <c r="G173" s="47" t="s">
        <v>35</v>
      </c>
      <c r="H173" s="97">
        <v>500</v>
      </c>
      <c r="I173" s="51">
        <v>75</v>
      </c>
      <c r="J173" s="49" t="s">
        <v>36</v>
      </c>
      <c r="K173" s="49" t="s">
        <v>536</v>
      </c>
      <c r="L173" s="4"/>
      <c r="O173" s="4"/>
      <c r="P173" s="1"/>
    </row>
    <row r="174" spans="1:16" ht="15.75" customHeight="1">
      <c r="A174" s="96">
        <v>26</v>
      </c>
      <c r="B174" s="47" t="s">
        <v>1580</v>
      </c>
      <c r="C174" s="47" t="s">
        <v>227</v>
      </c>
      <c r="D174" s="47" t="s">
        <v>1581</v>
      </c>
      <c r="E174" s="47" t="s">
        <v>386</v>
      </c>
      <c r="F174" s="49"/>
      <c r="G174" s="47" t="s">
        <v>35</v>
      </c>
      <c r="H174" s="97">
        <v>5000</v>
      </c>
      <c r="I174" s="51">
        <v>1000</v>
      </c>
      <c r="J174" s="49" t="s">
        <v>36</v>
      </c>
      <c r="K174" s="49" t="s">
        <v>536</v>
      </c>
      <c r="L174" s="4"/>
      <c r="O174" s="4"/>
      <c r="P174" s="1"/>
    </row>
    <row r="175" spans="1:16" ht="15.75" customHeight="1">
      <c r="A175" s="96">
        <v>26</v>
      </c>
      <c r="B175" s="47" t="s">
        <v>1582</v>
      </c>
      <c r="C175" s="47" t="s">
        <v>227</v>
      </c>
      <c r="D175" s="47" t="s">
        <v>556</v>
      </c>
      <c r="E175" s="47" t="s">
        <v>232</v>
      </c>
      <c r="F175" s="49"/>
      <c r="G175" s="47" t="s">
        <v>35</v>
      </c>
      <c r="H175" s="97">
        <v>2000</v>
      </c>
      <c r="I175" s="51">
        <v>400</v>
      </c>
      <c r="J175" s="49" t="s">
        <v>36</v>
      </c>
      <c r="K175" s="49" t="s">
        <v>536</v>
      </c>
      <c r="L175" s="4"/>
      <c r="O175" s="4"/>
      <c r="P175" s="1"/>
    </row>
    <row r="176" spans="1:16" ht="15.75" customHeight="1">
      <c r="A176" s="96">
        <v>26</v>
      </c>
      <c r="B176" s="47" t="s">
        <v>1583</v>
      </c>
      <c r="C176" s="47" t="s">
        <v>227</v>
      </c>
      <c r="D176" s="47" t="s">
        <v>625</v>
      </c>
      <c r="E176" s="47" t="s">
        <v>51</v>
      </c>
      <c r="F176" s="49"/>
      <c r="G176" s="47" t="s">
        <v>35</v>
      </c>
      <c r="H176" s="97">
        <v>3000</v>
      </c>
      <c r="I176" s="51">
        <v>900</v>
      </c>
      <c r="J176" s="49" t="s">
        <v>36</v>
      </c>
      <c r="K176" s="49" t="s">
        <v>536</v>
      </c>
      <c r="L176" s="4"/>
      <c r="O176" s="4"/>
      <c r="P176" s="1"/>
    </row>
    <row r="177" spans="1:17" ht="15.75" customHeight="1">
      <c r="A177" s="96">
        <v>26</v>
      </c>
      <c r="B177" s="47" t="s">
        <v>1584</v>
      </c>
      <c r="C177" s="47" t="s">
        <v>227</v>
      </c>
      <c r="D177" s="47" t="s">
        <v>625</v>
      </c>
      <c r="E177" s="47" t="s">
        <v>51</v>
      </c>
      <c r="F177" s="49"/>
      <c r="G177" s="47" t="s">
        <v>35</v>
      </c>
      <c r="H177" s="97">
        <v>500</v>
      </c>
      <c r="I177" s="51">
        <v>100</v>
      </c>
      <c r="J177" s="49" t="s">
        <v>36</v>
      </c>
      <c r="K177" s="49" t="s">
        <v>536</v>
      </c>
      <c r="L177" s="4"/>
      <c r="O177" s="4"/>
      <c r="P177" s="1"/>
    </row>
    <row r="178" spans="1:17" ht="15.75" customHeight="1">
      <c r="A178" s="96">
        <v>26</v>
      </c>
      <c r="B178" s="47" t="s">
        <v>1585</v>
      </c>
      <c r="C178" s="47" t="s">
        <v>227</v>
      </c>
      <c r="D178" s="47" t="s">
        <v>1586</v>
      </c>
      <c r="E178" s="47" t="s">
        <v>600</v>
      </c>
      <c r="F178" s="49"/>
      <c r="G178" s="47" t="s">
        <v>35</v>
      </c>
      <c r="H178" s="97">
        <v>100</v>
      </c>
      <c r="I178" s="51">
        <v>20</v>
      </c>
      <c r="J178" s="49" t="s">
        <v>36</v>
      </c>
      <c r="K178" s="49" t="s">
        <v>536</v>
      </c>
      <c r="L178" s="4"/>
      <c r="O178" s="4"/>
      <c r="P178" s="1"/>
    </row>
    <row r="179" spans="1:17" ht="15.75" customHeight="1">
      <c r="A179" s="96">
        <v>26</v>
      </c>
      <c r="B179" s="47" t="s">
        <v>496</v>
      </c>
      <c r="C179" s="47" t="s">
        <v>227</v>
      </c>
      <c r="D179" s="47" t="s">
        <v>1587</v>
      </c>
      <c r="E179" s="47" t="s">
        <v>164</v>
      </c>
      <c r="F179" s="49"/>
      <c r="G179" s="47" t="s">
        <v>35</v>
      </c>
      <c r="H179" s="97">
        <v>21000</v>
      </c>
      <c r="I179" s="51">
        <v>4200</v>
      </c>
      <c r="J179" s="49" t="s">
        <v>36</v>
      </c>
      <c r="K179" s="49" t="s">
        <v>536</v>
      </c>
      <c r="L179" s="4"/>
      <c r="O179" s="4"/>
      <c r="P179" s="1"/>
    </row>
    <row r="180" spans="1:17" ht="15.75" customHeight="1">
      <c r="A180" s="96">
        <v>26</v>
      </c>
      <c r="B180" s="47" t="s">
        <v>1588</v>
      </c>
      <c r="C180" s="47" t="s">
        <v>246</v>
      </c>
      <c r="D180" s="47" t="s">
        <v>295</v>
      </c>
      <c r="E180" s="47" t="s">
        <v>248</v>
      </c>
      <c r="F180" s="49"/>
      <c r="G180" s="47" t="s">
        <v>35</v>
      </c>
      <c r="H180" s="97">
        <v>1000</v>
      </c>
      <c r="I180" s="51">
        <v>200</v>
      </c>
      <c r="J180" s="49" t="s">
        <v>36</v>
      </c>
      <c r="K180" s="49" t="s">
        <v>536</v>
      </c>
      <c r="L180" s="4"/>
      <c r="O180" s="4"/>
      <c r="P180" s="1"/>
    </row>
    <row r="181" spans="1:17" ht="15.75" customHeight="1">
      <c r="A181" s="96">
        <v>26</v>
      </c>
      <c r="B181" s="47" t="s">
        <v>1589</v>
      </c>
      <c r="C181" s="47" t="s">
        <v>227</v>
      </c>
      <c r="D181" s="47" t="s">
        <v>231</v>
      </c>
      <c r="E181" s="47" t="s">
        <v>232</v>
      </c>
      <c r="F181" s="49"/>
      <c r="G181" s="47" t="s">
        <v>35</v>
      </c>
      <c r="H181" s="97">
        <v>1000</v>
      </c>
      <c r="I181" s="51">
        <v>200</v>
      </c>
      <c r="J181" s="49" t="s">
        <v>36</v>
      </c>
      <c r="K181" s="49" t="s">
        <v>536</v>
      </c>
      <c r="L181" s="4"/>
      <c r="O181" s="4"/>
      <c r="P181" s="1"/>
    </row>
    <row r="182" spans="1:17" ht="15.75" customHeight="1">
      <c r="A182" s="96">
        <v>26</v>
      </c>
      <c r="B182" s="47" t="s">
        <v>1590</v>
      </c>
      <c r="C182" s="47" t="s">
        <v>227</v>
      </c>
      <c r="D182" s="47" t="s">
        <v>1112</v>
      </c>
      <c r="E182" s="47" t="s">
        <v>199</v>
      </c>
      <c r="F182" s="49"/>
      <c r="G182" s="47" t="s">
        <v>35</v>
      </c>
      <c r="H182" s="97">
        <v>20000</v>
      </c>
      <c r="I182" s="51">
        <v>4000</v>
      </c>
      <c r="J182" s="49" t="s">
        <v>36</v>
      </c>
      <c r="K182" s="49" t="s">
        <v>536</v>
      </c>
      <c r="L182" s="4"/>
      <c r="O182" s="4"/>
      <c r="P182" s="1"/>
    </row>
    <row r="183" spans="1:17" ht="15.75" customHeight="1">
      <c r="A183" s="96">
        <v>26</v>
      </c>
      <c r="B183" s="47" t="s">
        <v>1591</v>
      </c>
      <c r="C183" s="47" t="s">
        <v>246</v>
      </c>
      <c r="D183" s="47" t="s">
        <v>277</v>
      </c>
      <c r="E183" s="47" t="s">
        <v>232</v>
      </c>
      <c r="F183" s="49"/>
      <c r="G183" s="47" t="s">
        <v>35</v>
      </c>
      <c r="H183" s="97">
        <v>500</v>
      </c>
      <c r="I183" s="51">
        <v>150</v>
      </c>
      <c r="J183" s="49" t="s">
        <v>36</v>
      </c>
      <c r="K183" s="49" t="s">
        <v>536</v>
      </c>
      <c r="L183" s="4"/>
      <c r="O183" s="4"/>
      <c r="P183" s="1"/>
    </row>
    <row r="184" spans="1:17" ht="15.75" customHeight="1">
      <c r="A184" s="96">
        <v>26</v>
      </c>
      <c r="B184" s="47" t="s">
        <v>1591</v>
      </c>
      <c r="C184" s="47" t="s">
        <v>246</v>
      </c>
      <c r="D184" s="47" t="s">
        <v>277</v>
      </c>
      <c r="E184" s="47" t="s">
        <v>232</v>
      </c>
      <c r="F184" s="49"/>
      <c r="G184" s="47" t="s">
        <v>35</v>
      </c>
      <c r="H184" s="97">
        <v>500</v>
      </c>
      <c r="I184" s="51"/>
      <c r="J184" s="49" t="s">
        <v>43</v>
      </c>
      <c r="K184" s="49" t="s">
        <v>536</v>
      </c>
      <c r="L184" s="4"/>
      <c r="O184" s="4"/>
      <c r="P184" s="1"/>
    </row>
    <row r="185" spans="1:17" ht="15.75" customHeight="1">
      <c r="A185" s="96">
        <v>27</v>
      </c>
      <c r="B185" s="47" t="s">
        <v>1592</v>
      </c>
      <c r="C185" s="47" t="s">
        <v>246</v>
      </c>
      <c r="D185" s="47" t="s">
        <v>385</v>
      </c>
      <c r="E185" s="47" t="s">
        <v>232</v>
      </c>
      <c r="F185" s="49"/>
      <c r="G185" s="47" t="s">
        <v>35</v>
      </c>
      <c r="H185" s="97">
        <v>200</v>
      </c>
      <c r="I185" s="51">
        <v>60</v>
      </c>
      <c r="J185" s="49" t="s">
        <v>36</v>
      </c>
      <c r="K185" s="49" t="s">
        <v>536</v>
      </c>
      <c r="L185" s="4"/>
      <c r="O185" s="4"/>
      <c r="P185" s="1"/>
    </row>
    <row r="186" spans="1:17" ht="15.75" customHeight="1">
      <c r="A186" s="96">
        <v>27</v>
      </c>
      <c r="B186" s="47" t="s">
        <v>1593</v>
      </c>
      <c r="C186" s="47" t="s">
        <v>227</v>
      </c>
      <c r="D186" s="47" t="s">
        <v>1245</v>
      </c>
      <c r="E186" s="47" t="s">
        <v>323</v>
      </c>
      <c r="F186" s="49"/>
      <c r="G186" s="47" t="s">
        <v>35</v>
      </c>
      <c r="H186" s="97">
        <v>200</v>
      </c>
      <c r="I186" s="51">
        <v>60</v>
      </c>
      <c r="J186" s="49" t="s">
        <v>36</v>
      </c>
      <c r="K186" s="49" t="s">
        <v>536</v>
      </c>
      <c r="L186" s="4"/>
      <c r="O186" s="4"/>
      <c r="P186" s="1"/>
    </row>
    <row r="187" spans="1:17" ht="15.75" customHeight="1">
      <c r="A187" s="96">
        <v>27</v>
      </c>
      <c r="B187" s="47" t="s">
        <v>506</v>
      </c>
      <c r="C187" s="47" t="s">
        <v>227</v>
      </c>
      <c r="D187" s="47" t="s">
        <v>32</v>
      </c>
      <c r="E187" s="47" t="s">
        <v>507</v>
      </c>
      <c r="F187" s="49"/>
      <c r="G187" s="47" t="s">
        <v>35</v>
      </c>
      <c r="H187" s="97">
        <v>2000</v>
      </c>
      <c r="I187" s="51">
        <v>400</v>
      </c>
      <c r="J187" s="49" t="s">
        <v>36</v>
      </c>
      <c r="K187" s="49" t="s">
        <v>536</v>
      </c>
      <c r="L187" s="4"/>
      <c r="O187" s="4"/>
      <c r="P187" s="1"/>
    </row>
    <row r="188" spans="1:17" ht="15.75" customHeight="1">
      <c r="A188" s="96">
        <v>27</v>
      </c>
      <c r="B188" s="47" t="s">
        <v>1594</v>
      </c>
      <c r="C188" s="47" t="s">
        <v>227</v>
      </c>
      <c r="D188" s="47" t="s">
        <v>247</v>
      </c>
      <c r="E188" s="47" t="s">
        <v>41</v>
      </c>
      <c r="F188" s="49"/>
      <c r="G188" s="47" t="s">
        <v>35</v>
      </c>
      <c r="H188" s="97">
        <v>500</v>
      </c>
      <c r="I188" s="51">
        <v>100</v>
      </c>
      <c r="J188" s="49" t="s">
        <v>36</v>
      </c>
      <c r="K188" s="49" t="s">
        <v>536</v>
      </c>
      <c r="L188" s="4"/>
      <c r="O188" s="4"/>
      <c r="P188" s="1"/>
    </row>
    <row r="189" spans="1:17" ht="15.75" customHeight="1">
      <c r="A189" s="96">
        <v>27</v>
      </c>
      <c r="B189" s="47" t="s">
        <v>1595</v>
      </c>
      <c r="C189" s="47" t="s">
        <v>227</v>
      </c>
      <c r="D189" s="47" t="s">
        <v>247</v>
      </c>
      <c r="E189" s="47" t="s">
        <v>41</v>
      </c>
      <c r="F189" s="49"/>
      <c r="G189" s="47" t="s">
        <v>35</v>
      </c>
      <c r="H189" s="97">
        <v>500</v>
      </c>
      <c r="I189" s="51">
        <v>100</v>
      </c>
      <c r="J189" s="49" t="s">
        <v>36</v>
      </c>
      <c r="K189" s="49" t="s">
        <v>536</v>
      </c>
      <c r="L189" s="4"/>
      <c r="O189" s="4"/>
      <c r="P189" s="1"/>
    </row>
    <row r="190" spans="1:17" ht="15.75" customHeight="1">
      <c r="A190" s="96"/>
      <c r="B190" s="47"/>
      <c r="C190" s="47"/>
      <c r="D190" s="47"/>
      <c r="E190" s="47"/>
      <c r="F190" s="49"/>
      <c r="G190" s="47"/>
      <c r="H190" s="97"/>
      <c r="I190" s="51"/>
      <c r="J190" s="49"/>
      <c r="K190" s="47"/>
      <c r="L190" s="4"/>
      <c r="O190" s="4"/>
      <c r="P190" s="1"/>
    </row>
    <row r="191" spans="1:17" ht="15.75" customHeight="1">
      <c r="A191" s="2"/>
      <c r="B191" s="3"/>
      <c r="C191" s="3"/>
      <c r="D191" s="3"/>
      <c r="E191" s="3"/>
      <c r="F191" s="1"/>
      <c r="G191" s="3"/>
      <c r="H191" s="99"/>
      <c r="I191" s="5"/>
      <c r="J191" s="1"/>
      <c r="K191" s="3"/>
      <c r="L191" s="4"/>
      <c r="O191" s="4"/>
      <c r="P191" s="1"/>
    </row>
    <row r="192" spans="1:17" ht="15.75" customHeight="1">
      <c r="A192" s="2"/>
      <c r="B192" s="3"/>
      <c r="C192" s="3"/>
      <c r="D192" s="3"/>
      <c r="E192" s="3"/>
      <c r="F192" s="1"/>
      <c r="G192" s="3"/>
      <c r="H192" s="99"/>
      <c r="I192" s="5"/>
      <c r="J192" s="1"/>
      <c r="K192" s="3"/>
      <c r="L192" s="4"/>
      <c r="O192" s="4"/>
      <c r="P192" s="1"/>
      <c r="Q192" s="4"/>
    </row>
    <row r="193" spans="1:16" ht="15.75" customHeight="1">
      <c r="A193" s="2"/>
      <c r="B193" s="3"/>
      <c r="C193" s="3"/>
      <c r="D193" s="3"/>
      <c r="E193" s="3"/>
      <c r="F193" s="1"/>
      <c r="G193" s="3"/>
      <c r="H193" s="99"/>
      <c r="I193" s="5"/>
      <c r="J193" s="1"/>
      <c r="K193" s="3"/>
      <c r="L193" s="4"/>
      <c r="O193" s="4"/>
      <c r="P193" s="1"/>
    </row>
    <row r="194" spans="1:16" ht="15.75" customHeight="1">
      <c r="A194" s="1"/>
      <c r="B194" s="1"/>
      <c r="D194" s="1"/>
      <c r="E194" s="1"/>
      <c r="G194" s="1"/>
      <c r="H194" s="4"/>
      <c r="J194" s="1"/>
      <c r="L194" s="4"/>
      <c r="O194" s="4"/>
      <c r="P194" s="1"/>
    </row>
    <row r="195" spans="1:16" ht="15.75" customHeight="1">
      <c r="I195" s="60" t="s">
        <v>53</v>
      </c>
      <c r="J195" s="60"/>
      <c r="L195" s="4"/>
      <c r="O195" s="1"/>
      <c r="P195" s="1"/>
    </row>
    <row r="196" spans="1:16" ht="15.75" customHeight="1">
      <c r="B196" s="61" t="s">
        <v>55</v>
      </c>
      <c r="E196" s="61" t="s">
        <v>56</v>
      </c>
      <c r="I196" s="60" t="s">
        <v>1596</v>
      </c>
      <c r="J196" s="60"/>
      <c r="L196" s="4"/>
      <c r="O196" s="1"/>
      <c r="P196" s="1"/>
    </row>
    <row r="197" spans="1:16" ht="15.75" customHeight="1">
      <c r="I197" s="60" t="s">
        <v>1597</v>
      </c>
      <c r="J197" s="60"/>
      <c r="L197" s="1"/>
      <c r="O197" s="1"/>
      <c r="P197" s="1"/>
    </row>
    <row r="198" spans="1:16" ht="15.75" customHeight="1">
      <c r="I198" s="60" t="s">
        <v>1598</v>
      </c>
      <c r="J198" s="60"/>
      <c r="L198" s="1"/>
      <c r="M198" s="1"/>
      <c r="N198" s="1"/>
    </row>
    <row r="199" spans="1:16" ht="15.75" customHeight="1">
      <c r="B199" s="65" t="s">
        <v>109</v>
      </c>
      <c r="E199" s="65" t="s">
        <v>61</v>
      </c>
      <c r="F199" s="65"/>
      <c r="G199" s="62"/>
      <c r="I199" s="60" t="s">
        <v>1599</v>
      </c>
      <c r="J199" s="60"/>
      <c r="L199" s="1"/>
      <c r="M199" s="1"/>
      <c r="N199" s="1"/>
    </row>
    <row r="200" spans="1:16" ht="15.75" customHeight="1">
      <c r="B200" s="61" t="s">
        <v>110</v>
      </c>
      <c r="E200" s="61" t="s">
        <v>124</v>
      </c>
      <c r="I200" s="60" t="s">
        <v>1600</v>
      </c>
      <c r="J200" s="60"/>
      <c r="L200" s="1"/>
      <c r="M200" s="1"/>
      <c r="N200" s="1"/>
    </row>
    <row r="201" spans="1:16" ht="15.75" customHeight="1">
      <c r="I201" s="60" t="s">
        <v>1601</v>
      </c>
      <c r="J201" s="60"/>
      <c r="L201" s="1"/>
      <c r="M201" s="1"/>
      <c r="N201" s="1"/>
    </row>
    <row r="202" spans="1:16" ht="15.75" customHeight="1">
      <c r="I202" s="60" t="s">
        <v>66</v>
      </c>
      <c r="J202" s="60"/>
    </row>
    <row r="203" spans="1:16" ht="15.75" customHeight="1">
      <c r="I203" s="60" t="s">
        <v>1602</v>
      </c>
      <c r="J203" s="63"/>
    </row>
    <row r="204" spans="1:16" ht="15.75" customHeight="1">
      <c r="I204" s="60" t="s">
        <v>1603</v>
      </c>
      <c r="J204" s="63"/>
    </row>
    <row r="205" spans="1:16" ht="15.75" customHeight="1"/>
    <row r="206" spans="1:16" ht="15.75" customHeight="1"/>
    <row r="207" spans="1:16" ht="15.75" customHeight="1"/>
    <row r="208" spans="1:1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" right="0.7" top="0.75" bottom="0.75" header="0" footer="0"/>
  <pageSetup paperSize="5" scale="9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1604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1605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1606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1607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1608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1</v>
      </c>
      <c r="B12" s="49" t="s">
        <v>1609</v>
      </c>
      <c r="C12" s="49" t="s">
        <v>227</v>
      </c>
      <c r="D12" s="49" t="s">
        <v>679</v>
      </c>
      <c r="E12" s="49" t="s">
        <v>232</v>
      </c>
      <c r="F12" s="49"/>
      <c r="G12" s="49" t="s">
        <v>35</v>
      </c>
      <c r="H12" s="50">
        <v>1500</v>
      </c>
      <c r="I12" s="55">
        <v>300</v>
      </c>
      <c r="J12" s="49" t="s">
        <v>36</v>
      </c>
      <c r="K12" s="49" t="s">
        <v>37</v>
      </c>
    </row>
    <row r="13" spans="1:11">
      <c r="A13" s="49">
        <v>1</v>
      </c>
      <c r="B13" s="49" t="s">
        <v>1610</v>
      </c>
      <c r="C13" s="49" t="s">
        <v>227</v>
      </c>
      <c r="D13" s="49" t="s">
        <v>231</v>
      </c>
      <c r="E13" s="49" t="s">
        <v>232</v>
      </c>
      <c r="F13" s="49"/>
      <c r="G13" s="49" t="s">
        <v>35</v>
      </c>
      <c r="H13" s="49">
        <v>500</v>
      </c>
      <c r="I13" s="55">
        <v>100</v>
      </c>
      <c r="J13" s="49" t="s">
        <v>36</v>
      </c>
      <c r="K13" s="49" t="s">
        <v>37</v>
      </c>
    </row>
    <row r="14" spans="1:11">
      <c r="A14" s="49">
        <v>1</v>
      </c>
      <c r="B14" s="49" t="s">
        <v>1611</v>
      </c>
      <c r="C14" s="49" t="s">
        <v>227</v>
      </c>
      <c r="D14" s="49" t="s">
        <v>1612</v>
      </c>
      <c r="E14" s="49" t="s">
        <v>48</v>
      </c>
      <c r="F14" s="49"/>
      <c r="G14" s="49" t="s">
        <v>35</v>
      </c>
      <c r="H14" s="49">
        <v>500</v>
      </c>
      <c r="I14" s="55">
        <v>100</v>
      </c>
      <c r="J14" s="49" t="s">
        <v>36</v>
      </c>
      <c r="K14" s="49" t="s">
        <v>37</v>
      </c>
    </row>
    <row r="15" spans="1:11">
      <c r="A15" s="49">
        <v>1</v>
      </c>
      <c r="B15" s="49" t="s">
        <v>1613</v>
      </c>
      <c r="C15" s="49" t="s">
        <v>227</v>
      </c>
      <c r="D15" s="49" t="s">
        <v>891</v>
      </c>
      <c r="E15" s="49" t="s">
        <v>156</v>
      </c>
      <c r="F15" s="49"/>
      <c r="G15" s="49" t="s">
        <v>242</v>
      </c>
      <c r="H15" s="49">
        <v>15</v>
      </c>
      <c r="I15" s="55">
        <v>45</v>
      </c>
      <c r="J15" s="49" t="s">
        <v>36</v>
      </c>
      <c r="K15" s="49" t="s">
        <v>37</v>
      </c>
    </row>
    <row r="16" spans="1:11">
      <c r="A16" s="49">
        <v>1</v>
      </c>
      <c r="B16" s="49" t="s">
        <v>1614</v>
      </c>
      <c r="C16" s="49" t="s">
        <v>246</v>
      </c>
      <c r="D16" s="49" t="s">
        <v>260</v>
      </c>
      <c r="E16" s="49" t="s">
        <v>51</v>
      </c>
      <c r="F16" s="49"/>
      <c r="G16" s="49" t="s">
        <v>35</v>
      </c>
      <c r="H16" s="49">
        <v>200</v>
      </c>
      <c r="I16" s="55">
        <v>60</v>
      </c>
      <c r="J16" s="49" t="s">
        <v>36</v>
      </c>
      <c r="K16" s="49" t="s">
        <v>37</v>
      </c>
    </row>
    <row r="17" spans="1:11">
      <c r="A17" s="49">
        <v>1</v>
      </c>
      <c r="B17" s="49" t="s">
        <v>1615</v>
      </c>
      <c r="C17" s="49" t="s">
        <v>227</v>
      </c>
      <c r="D17" s="49" t="s">
        <v>1616</v>
      </c>
      <c r="E17" s="49" t="s">
        <v>48</v>
      </c>
      <c r="F17" s="49"/>
      <c r="G17" s="49" t="s">
        <v>35</v>
      </c>
      <c r="H17" s="49">
        <v>400</v>
      </c>
      <c r="I17" s="55">
        <v>160</v>
      </c>
      <c r="J17" s="49" t="s">
        <v>36</v>
      </c>
      <c r="K17" s="49" t="s">
        <v>37</v>
      </c>
    </row>
    <row r="18" spans="1:11">
      <c r="A18" s="49">
        <v>1</v>
      </c>
      <c r="B18" s="49" t="s">
        <v>785</v>
      </c>
      <c r="C18" s="49" t="s">
        <v>227</v>
      </c>
      <c r="D18" s="49" t="s">
        <v>527</v>
      </c>
      <c r="E18" s="49" t="s">
        <v>251</v>
      </c>
      <c r="F18" s="49"/>
      <c r="G18" s="49" t="s">
        <v>35</v>
      </c>
      <c r="H18" s="49">
        <v>500</v>
      </c>
      <c r="I18" s="55">
        <v>150</v>
      </c>
      <c r="J18" s="49" t="s">
        <v>36</v>
      </c>
      <c r="K18" s="49" t="s">
        <v>37</v>
      </c>
    </row>
    <row r="19" spans="1:11">
      <c r="A19" s="49">
        <v>1</v>
      </c>
      <c r="B19" s="49" t="s">
        <v>1617</v>
      </c>
      <c r="C19" s="49" t="s">
        <v>227</v>
      </c>
      <c r="D19" s="49" t="s">
        <v>959</v>
      </c>
      <c r="E19" s="49" t="s">
        <v>507</v>
      </c>
      <c r="F19" s="49"/>
      <c r="G19" s="49" t="s">
        <v>35</v>
      </c>
      <c r="H19" s="50">
        <v>1000</v>
      </c>
      <c r="I19" s="55">
        <v>200</v>
      </c>
      <c r="J19" s="49" t="s">
        <v>36</v>
      </c>
      <c r="K19" s="49" t="s">
        <v>37</v>
      </c>
    </row>
    <row r="20" spans="1:11">
      <c r="A20" s="49">
        <v>1</v>
      </c>
      <c r="B20" s="49" t="s">
        <v>1618</v>
      </c>
      <c r="C20" s="49" t="s">
        <v>227</v>
      </c>
      <c r="D20" s="49" t="s">
        <v>805</v>
      </c>
      <c r="E20" s="49" t="s">
        <v>307</v>
      </c>
      <c r="F20" s="49"/>
      <c r="G20" s="49" t="s">
        <v>35</v>
      </c>
      <c r="H20" s="50">
        <v>1500</v>
      </c>
      <c r="I20" s="55">
        <v>300</v>
      </c>
      <c r="J20" s="49" t="s">
        <v>36</v>
      </c>
      <c r="K20" s="49" t="s">
        <v>37</v>
      </c>
    </row>
    <row r="21" spans="1:11" ht="15.75" customHeight="1">
      <c r="A21" s="49">
        <v>1</v>
      </c>
      <c r="B21" s="49" t="s">
        <v>1619</v>
      </c>
      <c r="C21" s="49" t="s">
        <v>227</v>
      </c>
      <c r="D21" s="49" t="s">
        <v>268</v>
      </c>
      <c r="E21" s="49" t="s">
        <v>248</v>
      </c>
      <c r="F21" s="49"/>
      <c r="G21" s="49" t="s">
        <v>35</v>
      </c>
      <c r="H21" s="50">
        <v>2000</v>
      </c>
      <c r="I21" s="55">
        <v>600</v>
      </c>
      <c r="J21" s="49" t="s">
        <v>36</v>
      </c>
      <c r="K21" s="49" t="s">
        <v>37</v>
      </c>
    </row>
    <row r="22" spans="1:11" ht="15.75" customHeight="1">
      <c r="A22" s="49">
        <v>1</v>
      </c>
      <c r="B22" s="49" t="s">
        <v>1620</v>
      </c>
      <c r="C22" s="49" t="s">
        <v>227</v>
      </c>
      <c r="D22" s="49" t="s">
        <v>607</v>
      </c>
      <c r="E22" s="49" t="s">
        <v>235</v>
      </c>
      <c r="F22" s="49"/>
      <c r="G22" s="49" t="s">
        <v>35</v>
      </c>
      <c r="H22" s="49">
        <v>100</v>
      </c>
      <c r="I22" s="55">
        <v>20</v>
      </c>
      <c r="J22" s="49" t="s">
        <v>36</v>
      </c>
      <c r="K22" s="49" t="s">
        <v>37</v>
      </c>
    </row>
    <row r="23" spans="1:11" ht="15.75" customHeight="1">
      <c r="A23" s="49">
        <v>1</v>
      </c>
      <c r="B23" s="49" t="s">
        <v>1621</v>
      </c>
      <c r="C23" s="49" t="s">
        <v>246</v>
      </c>
      <c r="D23" s="49" t="s">
        <v>234</v>
      </c>
      <c r="E23" s="49" t="s">
        <v>235</v>
      </c>
      <c r="F23" s="49"/>
      <c r="G23" s="49" t="s">
        <v>35</v>
      </c>
      <c r="H23" s="50">
        <v>2800</v>
      </c>
      <c r="I23" s="55">
        <v>840</v>
      </c>
      <c r="J23" s="49" t="s">
        <v>36</v>
      </c>
      <c r="K23" s="49" t="s">
        <v>37</v>
      </c>
    </row>
    <row r="24" spans="1:11" ht="15.75" customHeight="1">
      <c r="A24" s="49">
        <v>1</v>
      </c>
      <c r="B24" s="49" t="s">
        <v>1622</v>
      </c>
      <c r="C24" s="49" t="s">
        <v>227</v>
      </c>
      <c r="D24" s="49" t="s">
        <v>1623</v>
      </c>
      <c r="E24" s="49" t="s">
        <v>80</v>
      </c>
      <c r="F24" s="49"/>
      <c r="G24" s="49" t="s">
        <v>35</v>
      </c>
      <c r="H24" s="50">
        <v>2500</v>
      </c>
      <c r="I24" s="55">
        <v>750</v>
      </c>
      <c r="J24" s="49" t="s">
        <v>36</v>
      </c>
      <c r="K24" s="49" t="s">
        <v>37</v>
      </c>
    </row>
    <row r="25" spans="1:11" ht="15.75" customHeight="1">
      <c r="A25" s="49">
        <v>1</v>
      </c>
      <c r="B25" s="49" t="s">
        <v>1624</v>
      </c>
      <c r="C25" s="49" t="s">
        <v>227</v>
      </c>
      <c r="D25" s="49" t="s">
        <v>1625</v>
      </c>
      <c r="E25" s="49" t="s">
        <v>152</v>
      </c>
      <c r="F25" s="49"/>
      <c r="G25" s="49" t="s">
        <v>35</v>
      </c>
      <c r="H25" s="49">
        <v>200</v>
      </c>
      <c r="I25" s="55">
        <v>40</v>
      </c>
      <c r="J25" s="49" t="s">
        <v>36</v>
      </c>
      <c r="K25" s="49" t="s">
        <v>37</v>
      </c>
    </row>
    <row r="26" spans="1:11" ht="15.75" customHeight="1">
      <c r="A26" s="49">
        <v>1</v>
      </c>
      <c r="B26" s="49" t="s">
        <v>1624</v>
      </c>
      <c r="C26" s="49" t="s">
        <v>227</v>
      </c>
      <c r="D26" s="49" t="s">
        <v>1625</v>
      </c>
      <c r="E26" s="49" t="s">
        <v>152</v>
      </c>
      <c r="F26" s="49"/>
      <c r="G26" s="49" t="s">
        <v>242</v>
      </c>
      <c r="H26" s="49">
        <v>15</v>
      </c>
      <c r="I26" s="55">
        <v>45</v>
      </c>
      <c r="J26" s="49" t="s">
        <v>36</v>
      </c>
      <c r="K26" s="49" t="s">
        <v>37</v>
      </c>
    </row>
    <row r="27" spans="1:11" ht="15.75" customHeight="1">
      <c r="A27" s="49">
        <v>1</v>
      </c>
      <c r="B27" s="49" t="s">
        <v>731</v>
      </c>
      <c r="C27" s="49" t="s">
        <v>227</v>
      </c>
      <c r="D27" s="49" t="s">
        <v>607</v>
      </c>
      <c r="E27" s="49" t="s">
        <v>235</v>
      </c>
      <c r="F27" s="49"/>
      <c r="G27" s="49" t="s">
        <v>242</v>
      </c>
      <c r="H27" s="49">
        <v>15</v>
      </c>
      <c r="I27" s="55">
        <v>45</v>
      </c>
      <c r="J27" s="49" t="s">
        <v>36</v>
      </c>
      <c r="K27" s="49" t="s">
        <v>37</v>
      </c>
    </row>
    <row r="28" spans="1:11" ht="15.75" customHeight="1">
      <c r="A28" s="49">
        <v>1</v>
      </c>
      <c r="B28" s="49" t="s">
        <v>1626</v>
      </c>
      <c r="C28" s="49" t="s">
        <v>227</v>
      </c>
      <c r="D28" s="49" t="s">
        <v>1627</v>
      </c>
      <c r="E28" s="49" t="s">
        <v>307</v>
      </c>
      <c r="F28" s="49"/>
      <c r="G28" s="49" t="s">
        <v>35</v>
      </c>
      <c r="H28" s="50">
        <v>1000</v>
      </c>
      <c r="I28" s="55">
        <v>200</v>
      </c>
      <c r="J28" s="49" t="s">
        <v>36</v>
      </c>
      <c r="K28" s="49" t="s">
        <v>37</v>
      </c>
    </row>
    <row r="29" spans="1:11" ht="15.75" customHeight="1">
      <c r="A29" s="49">
        <v>1</v>
      </c>
      <c r="B29" s="49" t="s">
        <v>1628</v>
      </c>
      <c r="C29" s="49" t="s">
        <v>227</v>
      </c>
      <c r="D29" s="49" t="s">
        <v>947</v>
      </c>
      <c r="E29" s="49" t="s">
        <v>164</v>
      </c>
      <c r="F29" s="49"/>
      <c r="G29" s="49" t="s">
        <v>35</v>
      </c>
      <c r="H29" s="49">
        <v>50</v>
      </c>
      <c r="I29" s="55">
        <v>25</v>
      </c>
      <c r="J29" s="49" t="s">
        <v>36</v>
      </c>
      <c r="K29" s="49" t="s">
        <v>37</v>
      </c>
    </row>
    <row r="30" spans="1:11" ht="15.75" customHeight="1">
      <c r="A30" s="49">
        <v>1</v>
      </c>
      <c r="B30" s="49" t="s">
        <v>1629</v>
      </c>
      <c r="C30" s="49" t="s">
        <v>227</v>
      </c>
      <c r="D30" s="49" t="s">
        <v>1512</v>
      </c>
      <c r="E30" s="49" t="s">
        <v>321</v>
      </c>
      <c r="F30" s="49"/>
      <c r="G30" s="49" t="s">
        <v>35</v>
      </c>
      <c r="H30" s="50">
        <v>1500</v>
      </c>
      <c r="I30" s="55">
        <v>300</v>
      </c>
      <c r="J30" s="49" t="s">
        <v>36</v>
      </c>
      <c r="K30" s="49" t="s">
        <v>37</v>
      </c>
    </row>
    <row r="31" spans="1:11" ht="15.75" customHeight="1">
      <c r="A31" s="49">
        <v>1</v>
      </c>
      <c r="B31" s="49" t="s">
        <v>1629</v>
      </c>
      <c r="C31" s="49" t="s">
        <v>227</v>
      </c>
      <c r="D31" s="49" t="s">
        <v>1512</v>
      </c>
      <c r="E31" s="49" t="s">
        <v>321</v>
      </c>
      <c r="F31" s="49"/>
      <c r="G31" s="49" t="s">
        <v>35</v>
      </c>
      <c r="H31" s="49">
        <v>500</v>
      </c>
      <c r="I31" s="55"/>
      <c r="J31" s="49" t="s">
        <v>43</v>
      </c>
      <c r="K31" s="49"/>
    </row>
    <row r="32" spans="1:11" ht="15.75" customHeight="1">
      <c r="A32" s="49">
        <v>1</v>
      </c>
      <c r="B32" s="49" t="s">
        <v>1630</v>
      </c>
      <c r="C32" s="49" t="s">
        <v>227</v>
      </c>
      <c r="D32" s="49" t="s">
        <v>1245</v>
      </c>
      <c r="E32" s="49" t="s">
        <v>323</v>
      </c>
      <c r="F32" s="49"/>
      <c r="G32" s="49" t="s">
        <v>35</v>
      </c>
      <c r="H32" s="50">
        <v>1500</v>
      </c>
      <c r="I32" s="55">
        <v>300</v>
      </c>
      <c r="J32" s="49" t="s">
        <v>36</v>
      </c>
      <c r="K32" s="49" t="s">
        <v>37</v>
      </c>
    </row>
    <row r="33" spans="1:17" ht="15.75" customHeight="1">
      <c r="A33" s="49">
        <v>1</v>
      </c>
      <c r="B33" s="49" t="s">
        <v>429</v>
      </c>
      <c r="C33" s="49" t="s">
        <v>246</v>
      </c>
      <c r="D33" s="49" t="s">
        <v>1631</v>
      </c>
      <c r="E33" s="49" t="s">
        <v>600</v>
      </c>
      <c r="F33" s="49"/>
      <c r="G33" s="49" t="s">
        <v>35</v>
      </c>
      <c r="H33" s="49">
        <v>200</v>
      </c>
      <c r="I33" s="55">
        <v>40</v>
      </c>
      <c r="J33" s="49" t="s">
        <v>36</v>
      </c>
      <c r="K33" s="49" t="s">
        <v>37</v>
      </c>
    </row>
    <row r="34" spans="1:17" ht="15.75" customHeight="1">
      <c r="A34" s="49">
        <v>1</v>
      </c>
      <c r="B34" s="49" t="s">
        <v>1632</v>
      </c>
      <c r="C34" s="49" t="s">
        <v>227</v>
      </c>
      <c r="D34" s="49" t="s">
        <v>505</v>
      </c>
      <c r="E34" s="49" t="s">
        <v>235</v>
      </c>
      <c r="F34" s="49"/>
      <c r="G34" s="49" t="s">
        <v>35</v>
      </c>
      <c r="H34" s="49">
        <v>500</v>
      </c>
      <c r="I34" s="55">
        <v>100</v>
      </c>
      <c r="J34" s="49" t="s">
        <v>36</v>
      </c>
      <c r="K34" s="49" t="s">
        <v>37</v>
      </c>
    </row>
    <row r="35" spans="1:17" ht="15.75" customHeight="1">
      <c r="A35" s="49">
        <v>1</v>
      </c>
      <c r="B35" s="49" t="s">
        <v>1632</v>
      </c>
      <c r="C35" s="49" t="s">
        <v>227</v>
      </c>
      <c r="D35" s="49" t="s">
        <v>505</v>
      </c>
      <c r="E35" s="49" t="s">
        <v>235</v>
      </c>
      <c r="F35" s="49"/>
      <c r="G35" s="49" t="s">
        <v>35</v>
      </c>
      <c r="H35" s="49">
        <v>500</v>
      </c>
      <c r="I35" s="55"/>
      <c r="J35" s="49" t="s">
        <v>43</v>
      </c>
      <c r="K35" s="49"/>
    </row>
    <row r="36" spans="1:17" ht="15.75" customHeight="1">
      <c r="A36" s="49">
        <v>1</v>
      </c>
      <c r="B36" s="49" t="s">
        <v>1633</v>
      </c>
      <c r="C36" s="49" t="s">
        <v>246</v>
      </c>
      <c r="D36" s="49" t="s">
        <v>323</v>
      </c>
      <c r="E36" s="49" t="s">
        <v>232</v>
      </c>
      <c r="F36" s="49"/>
      <c r="G36" s="49" t="s">
        <v>35</v>
      </c>
      <c r="H36" s="49">
        <v>500</v>
      </c>
      <c r="I36" s="55">
        <v>100</v>
      </c>
      <c r="J36" s="49" t="s">
        <v>36</v>
      </c>
      <c r="K36" s="49" t="s">
        <v>37</v>
      </c>
    </row>
    <row r="37" spans="1:17" ht="15.75" customHeight="1">
      <c r="A37" s="49">
        <v>1</v>
      </c>
      <c r="B37" s="49" t="s">
        <v>1634</v>
      </c>
      <c r="C37" s="49" t="s">
        <v>227</v>
      </c>
      <c r="D37" s="49" t="s">
        <v>231</v>
      </c>
      <c r="E37" s="49" t="s">
        <v>232</v>
      </c>
      <c r="F37" s="49"/>
      <c r="G37" s="49" t="s">
        <v>35</v>
      </c>
      <c r="H37" s="50">
        <v>2500</v>
      </c>
      <c r="I37" s="55">
        <v>500</v>
      </c>
      <c r="J37" s="49" t="s">
        <v>36</v>
      </c>
      <c r="K37" s="49" t="s">
        <v>37</v>
      </c>
    </row>
    <row r="38" spans="1:17" ht="15.75" customHeight="1">
      <c r="A38" s="49">
        <v>1</v>
      </c>
      <c r="B38" s="49" t="s">
        <v>276</v>
      </c>
      <c r="C38" s="49" t="s">
        <v>227</v>
      </c>
      <c r="D38" s="49" t="s">
        <v>277</v>
      </c>
      <c r="E38" s="49" t="s">
        <v>232</v>
      </c>
      <c r="F38" s="49"/>
      <c r="G38" s="49" t="s">
        <v>35</v>
      </c>
      <c r="H38" s="50">
        <v>2000</v>
      </c>
      <c r="I38" s="55">
        <v>400</v>
      </c>
      <c r="J38" s="49" t="s">
        <v>36</v>
      </c>
      <c r="K38" s="49" t="s">
        <v>37</v>
      </c>
      <c r="O38" s="4"/>
    </row>
    <row r="39" spans="1:17" ht="15.75" customHeight="1">
      <c r="A39" s="49">
        <v>1</v>
      </c>
      <c r="B39" s="49" t="s">
        <v>1635</v>
      </c>
      <c r="C39" s="49" t="s">
        <v>246</v>
      </c>
      <c r="D39" s="49" t="s">
        <v>295</v>
      </c>
      <c r="E39" s="49" t="s">
        <v>248</v>
      </c>
      <c r="F39" s="49"/>
      <c r="G39" s="49" t="s">
        <v>35</v>
      </c>
      <c r="H39" s="50">
        <v>1500</v>
      </c>
      <c r="I39" s="55">
        <v>300</v>
      </c>
      <c r="J39" s="49" t="s">
        <v>36</v>
      </c>
      <c r="K39" s="49" t="s">
        <v>37</v>
      </c>
      <c r="O39" s="4"/>
    </row>
    <row r="40" spans="1:17" ht="15.75" customHeight="1">
      <c r="A40" s="49">
        <v>1</v>
      </c>
      <c r="B40" s="49" t="s">
        <v>1636</v>
      </c>
      <c r="C40" s="49" t="s">
        <v>227</v>
      </c>
      <c r="D40" s="49" t="s">
        <v>1097</v>
      </c>
      <c r="E40" s="49" t="s">
        <v>51</v>
      </c>
      <c r="F40" s="49"/>
      <c r="G40" s="49" t="s">
        <v>35</v>
      </c>
      <c r="H40" s="50">
        <v>1000</v>
      </c>
      <c r="I40" s="55">
        <v>200</v>
      </c>
      <c r="J40" s="49" t="s">
        <v>36</v>
      </c>
      <c r="K40" s="49" t="s">
        <v>37</v>
      </c>
      <c r="O40" s="4"/>
    </row>
    <row r="41" spans="1:17" ht="15.75" customHeight="1">
      <c r="A41" s="49">
        <v>1</v>
      </c>
      <c r="B41" s="49" t="s">
        <v>1637</v>
      </c>
      <c r="C41" s="49" t="s">
        <v>227</v>
      </c>
      <c r="D41" s="49" t="s">
        <v>743</v>
      </c>
      <c r="E41" s="49" t="s">
        <v>48</v>
      </c>
      <c r="F41" s="49"/>
      <c r="G41" s="49" t="s">
        <v>35</v>
      </c>
      <c r="H41" s="50">
        <v>2500</v>
      </c>
      <c r="I41" s="55">
        <v>500</v>
      </c>
      <c r="J41" s="49" t="s">
        <v>36</v>
      </c>
      <c r="K41" s="49" t="s">
        <v>37</v>
      </c>
      <c r="O41" s="4"/>
    </row>
    <row r="42" spans="1:17" ht="15.75" customHeight="1">
      <c r="A42" s="49">
        <v>2</v>
      </c>
      <c r="B42" s="49" t="s">
        <v>618</v>
      </c>
      <c r="C42" s="49" t="s">
        <v>227</v>
      </c>
      <c r="D42" s="49" t="s">
        <v>619</v>
      </c>
      <c r="E42" s="49" t="s">
        <v>193</v>
      </c>
      <c r="F42" s="49"/>
      <c r="G42" s="49" t="s">
        <v>35</v>
      </c>
      <c r="H42" s="50">
        <v>2000</v>
      </c>
      <c r="I42" s="55">
        <v>400</v>
      </c>
      <c r="J42" s="49" t="s">
        <v>36</v>
      </c>
      <c r="K42" s="49" t="s">
        <v>37</v>
      </c>
      <c r="Q42" s="4"/>
    </row>
    <row r="43" spans="1:17" ht="15.75" customHeight="1">
      <c r="A43" s="49">
        <v>2</v>
      </c>
      <c r="B43" s="49" t="s">
        <v>892</v>
      </c>
      <c r="C43" s="49" t="s">
        <v>227</v>
      </c>
      <c r="D43" s="49" t="s">
        <v>893</v>
      </c>
      <c r="E43" s="49" t="s">
        <v>152</v>
      </c>
      <c r="F43" s="49"/>
      <c r="G43" s="49" t="s">
        <v>35</v>
      </c>
      <c r="H43" s="50">
        <v>500</v>
      </c>
      <c r="I43" s="55">
        <v>150</v>
      </c>
      <c r="J43" s="49" t="s">
        <v>36</v>
      </c>
      <c r="K43" s="49" t="s">
        <v>37</v>
      </c>
      <c r="O43" s="4"/>
    </row>
    <row r="44" spans="1:17" ht="15.75" customHeight="1">
      <c r="A44" s="49">
        <v>2</v>
      </c>
      <c r="B44" s="49" t="s">
        <v>1638</v>
      </c>
      <c r="C44" s="49" t="s">
        <v>227</v>
      </c>
      <c r="D44" s="49" t="s">
        <v>616</v>
      </c>
      <c r="E44" s="49" t="s">
        <v>241</v>
      </c>
      <c r="F44" s="49"/>
      <c r="G44" s="49" t="s">
        <v>35</v>
      </c>
      <c r="H44" s="50">
        <v>200</v>
      </c>
      <c r="I44" s="55">
        <v>40</v>
      </c>
      <c r="J44" s="49" t="s">
        <v>36</v>
      </c>
      <c r="K44" s="49" t="s">
        <v>37</v>
      </c>
      <c r="O44" s="4"/>
    </row>
    <row r="45" spans="1:17" ht="15.75" customHeight="1">
      <c r="A45" s="49">
        <v>2</v>
      </c>
      <c r="B45" s="49" t="s">
        <v>1638</v>
      </c>
      <c r="C45" s="49" t="s">
        <v>227</v>
      </c>
      <c r="D45" s="49" t="s">
        <v>616</v>
      </c>
      <c r="E45" s="49" t="s">
        <v>241</v>
      </c>
      <c r="F45" s="49"/>
      <c r="G45" s="49" t="s">
        <v>35</v>
      </c>
      <c r="H45" s="50">
        <v>500</v>
      </c>
      <c r="I45" s="55"/>
      <c r="J45" s="49" t="s">
        <v>43</v>
      </c>
      <c r="K45" s="49" t="s">
        <v>37</v>
      </c>
      <c r="O45" s="4"/>
    </row>
    <row r="46" spans="1:17" ht="15.75" customHeight="1">
      <c r="A46" s="49">
        <v>3</v>
      </c>
      <c r="B46" s="49" t="s">
        <v>1639</v>
      </c>
      <c r="C46" s="49" t="s">
        <v>246</v>
      </c>
      <c r="D46" s="49" t="s">
        <v>1640</v>
      </c>
      <c r="E46" s="49" t="s">
        <v>254</v>
      </c>
      <c r="F46" s="49"/>
      <c r="G46" s="49" t="s">
        <v>1259</v>
      </c>
      <c r="H46" s="95" t="s">
        <v>1132</v>
      </c>
      <c r="I46" s="55">
        <v>800</v>
      </c>
      <c r="J46" s="49" t="s">
        <v>36</v>
      </c>
      <c r="K46" s="49" t="s">
        <v>37</v>
      </c>
      <c r="O46" s="4"/>
    </row>
    <row r="47" spans="1:17" ht="15.75" customHeight="1">
      <c r="A47" s="49">
        <v>3</v>
      </c>
      <c r="B47" s="49" t="s">
        <v>1641</v>
      </c>
      <c r="C47" s="49" t="s">
        <v>227</v>
      </c>
      <c r="D47" s="49" t="s">
        <v>396</v>
      </c>
      <c r="E47" s="49" t="s">
        <v>307</v>
      </c>
      <c r="F47" s="49"/>
      <c r="G47" s="49" t="s">
        <v>1259</v>
      </c>
      <c r="H47" s="95" t="s">
        <v>1132</v>
      </c>
      <c r="I47" s="55">
        <v>800</v>
      </c>
      <c r="J47" s="49" t="s">
        <v>36</v>
      </c>
      <c r="K47" s="49" t="s">
        <v>37</v>
      </c>
      <c r="O47" s="4"/>
    </row>
    <row r="48" spans="1:17" ht="15.75" customHeight="1">
      <c r="A48" s="49">
        <v>3</v>
      </c>
      <c r="B48" s="49" t="s">
        <v>1642</v>
      </c>
      <c r="C48" s="49" t="s">
        <v>246</v>
      </c>
      <c r="D48" s="49"/>
      <c r="E48" s="49" t="s">
        <v>75</v>
      </c>
      <c r="F48" s="49"/>
      <c r="G48" s="49" t="s">
        <v>1259</v>
      </c>
      <c r="H48" s="48" t="s">
        <v>1643</v>
      </c>
      <c r="I48" s="55">
        <v>6160</v>
      </c>
      <c r="J48" s="49" t="s">
        <v>36</v>
      </c>
      <c r="K48" s="49" t="s">
        <v>37</v>
      </c>
    </row>
    <row r="49" spans="1:17" ht="15.75" customHeight="1">
      <c r="A49" s="49">
        <v>3</v>
      </c>
      <c r="B49" s="49" t="s">
        <v>1644</v>
      </c>
      <c r="C49" s="49" t="s">
        <v>227</v>
      </c>
      <c r="D49" s="49" t="s">
        <v>763</v>
      </c>
      <c r="E49" s="49" t="s">
        <v>235</v>
      </c>
      <c r="F49" s="49"/>
      <c r="G49" s="49" t="s">
        <v>1259</v>
      </c>
      <c r="H49" s="48" t="s">
        <v>1645</v>
      </c>
      <c r="I49" s="55">
        <v>160</v>
      </c>
      <c r="J49" s="49" t="s">
        <v>36</v>
      </c>
      <c r="K49" s="49" t="s">
        <v>37</v>
      </c>
    </row>
    <row r="50" spans="1:17" ht="15.75" customHeight="1">
      <c r="A50" s="49">
        <v>3</v>
      </c>
      <c r="B50" s="49" t="s">
        <v>1646</v>
      </c>
      <c r="C50" s="49"/>
      <c r="D50" s="49"/>
      <c r="E50" s="49" t="s">
        <v>84</v>
      </c>
      <c r="F50" s="49"/>
      <c r="G50" s="49" t="s">
        <v>1259</v>
      </c>
      <c r="H50" s="95" t="s">
        <v>1647</v>
      </c>
      <c r="I50" s="55">
        <v>3200</v>
      </c>
      <c r="J50" s="49" t="s">
        <v>36</v>
      </c>
      <c r="K50" s="49" t="s">
        <v>37</v>
      </c>
    </row>
    <row r="51" spans="1:17" ht="15.75" customHeight="1">
      <c r="A51" s="49">
        <v>3</v>
      </c>
      <c r="B51" s="49" t="s">
        <v>1648</v>
      </c>
      <c r="C51" s="49" t="s">
        <v>227</v>
      </c>
      <c r="D51" s="49" t="s">
        <v>607</v>
      </c>
      <c r="E51" s="49" t="s">
        <v>235</v>
      </c>
      <c r="F51" s="49"/>
      <c r="G51" s="49" t="s">
        <v>1259</v>
      </c>
      <c r="H51" s="48" t="s">
        <v>1649</v>
      </c>
      <c r="I51" s="55">
        <v>100</v>
      </c>
      <c r="J51" s="49" t="s">
        <v>36</v>
      </c>
      <c r="K51" s="49" t="s">
        <v>37</v>
      </c>
    </row>
    <row r="52" spans="1:17" ht="15.75" customHeight="1">
      <c r="A52" s="49">
        <v>4</v>
      </c>
      <c r="B52" s="49" t="s">
        <v>1650</v>
      </c>
      <c r="C52" s="49" t="s">
        <v>227</v>
      </c>
      <c r="D52" s="49" t="s">
        <v>464</v>
      </c>
      <c r="E52" s="49" t="s">
        <v>321</v>
      </c>
      <c r="F52" s="49"/>
      <c r="G52" s="49" t="s">
        <v>35</v>
      </c>
      <c r="H52" s="50">
        <v>200</v>
      </c>
      <c r="I52" s="55">
        <v>40</v>
      </c>
      <c r="J52" s="49" t="s">
        <v>36</v>
      </c>
      <c r="K52" s="49" t="s">
        <v>37</v>
      </c>
    </row>
    <row r="53" spans="1:17" ht="15.75" customHeight="1">
      <c r="A53" s="49">
        <v>4</v>
      </c>
      <c r="B53" s="49" t="s">
        <v>541</v>
      </c>
      <c r="C53" s="49" t="s">
        <v>227</v>
      </c>
      <c r="D53" s="49" t="s">
        <v>290</v>
      </c>
      <c r="E53" s="49" t="s">
        <v>232</v>
      </c>
      <c r="F53" s="49"/>
      <c r="G53" s="49" t="s">
        <v>35</v>
      </c>
      <c r="H53" s="50">
        <v>1500</v>
      </c>
      <c r="I53" s="55">
        <v>300</v>
      </c>
      <c r="J53" s="49" t="s">
        <v>36</v>
      </c>
      <c r="K53" s="49" t="s">
        <v>37</v>
      </c>
    </row>
    <row r="54" spans="1:17" ht="15.75" customHeight="1">
      <c r="A54" s="49">
        <v>4</v>
      </c>
      <c r="B54" s="49" t="s">
        <v>541</v>
      </c>
      <c r="C54" s="49" t="s">
        <v>227</v>
      </c>
      <c r="D54" s="49" t="s">
        <v>290</v>
      </c>
      <c r="E54" s="49" t="s">
        <v>232</v>
      </c>
      <c r="F54" s="49"/>
      <c r="G54" s="49" t="s">
        <v>35</v>
      </c>
      <c r="H54" s="50">
        <v>500</v>
      </c>
      <c r="I54" s="55">
        <v>1500</v>
      </c>
      <c r="J54" s="49" t="s">
        <v>36</v>
      </c>
      <c r="K54" s="49" t="s">
        <v>37</v>
      </c>
    </row>
    <row r="55" spans="1:17" ht="15.75" customHeight="1">
      <c r="A55" s="49">
        <v>4</v>
      </c>
      <c r="B55" s="49" t="s">
        <v>1651</v>
      </c>
      <c r="C55" s="49" t="s">
        <v>227</v>
      </c>
      <c r="D55" s="49" t="s">
        <v>32</v>
      </c>
      <c r="E55" s="49" t="s">
        <v>193</v>
      </c>
      <c r="F55" s="49"/>
      <c r="G55" s="49" t="s">
        <v>35</v>
      </c>
      <c r="H55" s="50">
        <v>25000</v>
      </c>
      <c r="I55" s="55">
        <v>5000</v>
      </c>
      <c r="J55" s="49" t="s">
        <v>36</v>
      </c>
      <c r="K55" s="49" t="s">
        <v>37</v>
      </c>
      <c r="Q55" s="4"/>
    </row>
    <row r="56" spans="1:17" ht="15.75" customHeight="1">
      <c r="A56" s="49">
        <v>4</v>
      </c>
      <c r="B56" s="49" t="s">
        <v>1652</v>
      </c>
      <c r="C56" s="49" t="s">
        <v>227</v>
      </c>
      <c r="D56" s="49" t="s">
        <v>164</v>
      </c>
      <c r="E56" s="49" t="s">
        <v>321</v>
      </c>
      <c r="F56" s="49"/>
      <c r="G56" s="49" t="s">
        <v>35</v>
      </c>
      <c r="H56" s="50">
        <v>250</v>
      </c>
      <c r="I56" s="55">
        <v>50</v>
      </c>
      <c r="J56" s="49" t="s">
        <v>36</v>
      </c>
      <c r="K56" s="49" t="s">
        <v>37</v>
      </c>
    </row>
    <row r="57" spans="1:17" ht="15.75" customHeight="1">
      <c r="A57" s="49">
        <v>4</v>
      </c>
      <c r="B57" s="49" t="s">
        <v>1653</v>
      </c>
      <c r="C57" s="49" t="s">
        <v>227</v>
      </c>
      <c r="D57" s="49" t="s">
        <v>315</v>
      </c>
      <c r="E57" s="49" t="s">
        <v>48</v>
      </c>
      <c r="F57" s="49"/>
      <c r="G57" s="49" t="s">
        <v>35</v>
      </c>
      <c r="H57" s="50">
        <v>100</v>
      </c>
      <c r="I57" s="55">
        <v>20</v>
      </c>
      <c r="J57" s="49" t="s">
        <v>36</v>
      </c>
      <c r="K57" s="49" t="s">
        <v>37</v>
      </c>
    </row>
    <row r="58" spans="1:17" ht="15.75" customHeight="1">
      <c r="A58" s="49">
        <v>8</v>
      </c>
      <c r="B58" s="49" t="s">
        <v>1071</v>
      </c>
      <c r="C58" s="49" t="s">
        <v>227</v>
      </c>
      <c r="D58" s="49" t="s">
        <v>1654</v>
      </c>
      <c r="E58" s="49" t="s">
        <v>115</v>
      </c>
      <c r="F58" s="49"/>
      <c r="G58" s="49" t="s">
        <v>35</v>
      </c>
      <c r="H58" s="50">
        <v>46000</v>
      </c>
      <c r="I58" s="55">
        <v>18400</v>
      </c>
      <c r="J58" s="49" t="s">
        <v>117</v>
      </c>
      <c r="K58" s="49" t="s">
        <v>37</v>
      </c>
    </row>
    <row r="59" spans="1:17" ht="15.75" customHeight="1">
      <c r="A59" s="49">
        <v>8</v>
      </c>
      <c r="B59" s="49" t="s">
        <v>299</v>
      </c>
      <c r="C59" s="49" t="s">
        <v>227</v>
      </c>
      <c r="D59" s="49" t="s">
        <v>295</v>
      </c>
      <c r="E59" s="49" t="s">
        <v>248</v>
      </c>
      <c r="F59" s="49"/>
      <c r="G59" s="49" t="s">
        <v>35</v>
      </c>
      <c r="H59" s="50">
        <v>1500</v>
      </c>
      <c r="I59" s="55">
        <v>600</v>
      </c>
      <c r="J59" s="49" t="s">
        <v>36</v>
      </c>
      <c r="K59" s="49" t="s">
        <v>37</v>
      </c>
    </row>
    <row r="60" spans="1:17" ht="15.75" customHeight="1">
      <c r="A60" s="49">
        <v>8</v>
      </c>
      <c r="B60" s="49" t="s">
        <v>1655</v>
      </c>
      <c r="C60" s="49" t="s">
        <v>227</v>
      </c>
      <c r="D60" s="49" t="s">
        <v>548</v>
      </c>
      <c r="E60" s="49" t="s">
        <v>232</v>
      </c>
      <c r="F60" s="49"/>
      <c r="G60" s="49" t="s">
        <v>35</v>
      </c>
      <c r="H60" s="50">
        <v>1000</v>
      </c>
      <c r="I60" s="55">
        <v>400</v>
      </c>
      <c r="J60" s="49" t="s">
        <v>36</v>
      </c>
      <c r="K60" s="49" t="s">
        <v>37</v>
      </c>
    </row>
    <row r="61" spans="1:17" ht="15.75" customHeight="1">
      <c r="A61" s="49">
        <v>8</v>
      </c>
      <c r="B61" s="49" t="s">
        <v>651</v>
      </c>
      <c r="C61" s="49" t="s">
        <v>227</v>
      </c>
      <c r="D61" s="49" t="s">
        <v>1656</v>
      </c>
      <c r="E61" s="49" t="s">
        <v>254</v>
      </c>
      <c r="F61" s="49"/>
      <c r="G61" s="49" t="s">
        <v>1259</v>
      </c>
      <c r="H61" s="95" t="s">
        <v>1132</v>
      </c>
      <c r="I61" s="55">
        <v>800</v>
      </c>
      <c r="J61" s="49" t="s">
        <v>36</v>
      </c>
      <c r="K61" s="49" t="s">
        <v>37</v>
      </c>
    </row>
    <row r="62" spans="1:17" ht="15.75" customHeight="1">
      <c r="A62" s="49">
        <v>8</v>
      </c>
      <c r="B62" s="49" t="s">
        <v>1657</v>
      </c>
      <c r="C62" s="49" t="s">
        <v>227</v>
      </c>
      <c r="D62" s="49" t="s">
        <v>564</v>
      </c>
      <c r="E62" s="49" t="s">
        <v>507</v>
      </c>
      <c r="F62" s="49"/>
      <c r="G62" s="49" t="s">
        <v>35</v>
      </c>
      <c r="H62" s="50">
        <v>1500</v>
      </c>
      <c r="I62" s="55">
        <v>300</v>
      </c>
      <c r="J62" s="49" t="s">
        <v>36</v>
      </c>
      <c r="K62" s="49" t="s">
        <v>37</v>
      </c>
    </row>
    <row r="63" spans="1:17" ht="15.75" customHeight="1">
      <c r="A63" s="49">
        <v>8</v>
      </c>
      <c r="B63" s="49" t="s">
        <v>1657</v>
      </c>
      <c r="C63" s="49" t="s">
        <v>227</v>
      </c>
      <c r="D63" s="49" t="s">
        <v>564</v>
      </c>
      <c r="E63" s="49" t="s">
        <v>507</v>
      </c>
      <c r="F63" s="49"/>
      <c r="G63" s="49" t="s">
        <v>35</v>
      </c>
      <c r="H63" s="50">
        <v>500</v>
      </c>
      <c r="I63" s="55"/>
      <c r="J63" s="49" t="s">
        <v>43</v>
      </c>
      <c r="K63" s="49" t="s">
        <v>37</v>
      </c>
    </row>
    <row r="64" spans="1:17" ht="15.75" customHeight="1">
      <c r="A64" s="49">
        <v>8</v>
      </c>
      <c r="B64" s="49" t="s">
        <v>1658</v>
      </c>
      <c r="C64" s="49" t="s">
        <v>227</v>
      </c>
      <c r="D64" s="49" t="s">
        <v>548</v>
      </c>
      <c r="E64" s="49" t="s">
        <v>48</v>
      </c>
      <c r="F64" s="49"/>
      <c r="G64" s="49" t="s">
        <v>35</v>
      </c>
      <c r="H64" s="50">
        <v>2500</v>
      </c>
      <c r="I64" s="55">
        <v>500</v>
      </c>
      <c r="J64" s="49" t="s">
        <v>36</v>
      </c>
      <c r="K64" s="49" t="s">
        <v>37</v>
      </c>
    </row>
    <row r="65" spans="1:15" ht="15.75" customHeight="1">
      <c r="A65" s="49">
        <v>8</v>
      </c>
      <c r="B65" s="49" t="s">
        <v>1659</v>
      </c>
      <c r="C65" s="49" t="s">
        <v>227</v>
      </c>
      <c r="D65" s="49" t="s">
        <v>205</v>
      </c>
      <c r="E65" s="49" t="s">
        <v>199</v>
      </c>
      <c r="F65" s="49"/>
      <c r="G65" s="49" t="s">
        <v>35</v>
      </c>
      <c r="H65" s="50">
        <v>3000</v>
      </c>
      <c r="I65" s="55">
        <v>600</v>
      </c>
      <c r="J65" s="49" t="s">
        <v>36</v>
      </c>
      <c r="K65" s="49" t="s">
        <v>37</v>
      </c>
    </row>
    <row r="66" spans="1:15" ht="15.75" customHeight="1">
      <c r="A66" s="49">
        <v>8</v>
      </c>
      <c r="B66" s="49" t="s">
        <v>1660</v>
      </c>
      <c r="C66" s="49" t="s">
        <v>227</v>
      </c>
      <c r="D66" s="49" t="s">
        <v>205</v>
      </c>
      <c r="E66" s="49" t="s">
        <v>199</v>
      </c>
      <c r="F66" s="49"/>
      <c r="G66" s="49" t="s">
        <v>35</v>
      </c>
      <c r="H66" s="50">
        <v>14000</v>
      </c>
      <c r="I66" s="55">
        <v>2800</v>
      </c>
      <c r="J66" s="49" t="s">
        <v>36</v>
      </c>
      <c r="K66" s="49" t="s">
        <v>37</v>
      </c>
    </row>
    <row r="67" spans="1:15" ht="15.75" customHeight="1">
      <c r="A67" s="49">
        <v>8</v>
      </c>
      <c r="B67" s="49" t="s">
        <v>1661</v>
      </c>
      <c r="C67" s="49" t="s">
        <v>227</v>
      </c>
      <c r="D67" s="49" t="s">
        <v>164</v>
      </c>
      <c r="E67" s="49" t="s">
        <v>321</v>
      </c>
      <c r="F67" s="49"/>
      <c r="G67" s="49" t="s">
        <v>35</v>
      </c>
      <c r="H67" s="50">
        <v>1000</v>
      </c>
      <c r="I67" s="55">
        <v>200</v>
      </c>
      <c r="J67" s="49" t="s">
        <v>36</v>
      </c>
      <c r="K67" s="49" t="s">
        <v>37</v>
      </c>
    </row>
    <row r="68" spans="1:15" ht="15.75" customHeight="1">
      <c r="A68" s="49">
        <v>8</v>
      </c>
      <c r="B68" s="49" t="s">
        <v>1662</v>
      </c>
      <c r="C68" s="49" t="s">
        <v>227</v>
      </c>
      <c r="D68" s="49" t="s">
        <v>812</v>
      </c>
      <c r="E68" s="49" t="s">
        <v>321</v>
      </c>
      <c r="F68" s="49"/>
      <c r="G68" s="49" t="s">
        <v>35</v>
      </c>
      <c r="H68" s="50">
        <v>500</v>
      </c>
      <c r="I68" s="55">
        <v>100</v>
      </c>
      <c r="J68" s="49" t="s">
        <v>36</v>
      </c>
      <c r="K68" s="49" t="s">
        <v>37</v>
      </c>
    </row>
    <row r="69" spans="1:15" ht="15.75" customHeight="1">
      <c r="A69" s="49">
        <v>8</v>
      </c>
      <c r="B69" s="49" t="s">
        <v>1663</v>
      </c>
      <c r="C69" s="49" t="s">
        <v>227</v>
      </c>
      <c r="D69" s="49" t="s">
        <v>548</v>
      </c>
      <c r="E69" s="49" t="s">
        <v>48</v>
      </c>
      <c r="F69" s="49"/>
      <c r="G69" s="49" t="s">
        <v>35</v>
      </c>
      <c r="H69" s="50">
        <v>1100</v>
      </c>
      <c r="I69" s="55">
        <v>220</v>
      </c>
      <c r="J69" s="49" t="s">
        <v>36</v>
      </c>
      <c r="K69" s="49" t="s">
        <v>37</v>
      </c>
    </row>
    <row r="70" spans="1:15" ht="15.75" customHeight="1">
      <c r="A70" s="49">
        <v>8</v>
      </c>
      <c r="B70" s="49" t="s">
        <v>1664</v>
      </c>
      <c r="C70" s="49" t="s">
        <v>227</v>
      </c>
      <c r="D70" s="49" t="s">
        <v>234</v>
      </c>
      <c r="E70" s="49" t="s">
        <v>235</v>
      </c>
      <c r="F70" s="49"/>
      <c r="G70" s="49" t="s">
        <v>35</v>
      </c>
      <c r="H70" s="50">
        <v>1000</v>
      </c>
      <c r="I70" s="55">
        <v>200</v>
      </c>
      <c r="J70" s="49" t="s">
        <v>36</v>
      </c>
      <c r="K70" s="49" t="s">
        <v>37</v>
      </c>
    </row>
    <row r="71" spans="1:15" ht="15.75" customHeight="1">
      <c r="A71" s="49">
        <v>8</v>
      </c>
      <c r="B71" s="49" t="s">
        <v>1665</v>
      </c>
      <c r="C71" s="49" t="s">
        <v>227</v>
      </c>
      <c r="D71" s="49" t="s">
        <v>1666</v>
      </c>
      <c r="E71" s="49" t="s">
        <v>1667</v>
      </c>
      <c r="F71" s="49"/>
      <c r="G71" s="49" t="s">
        <v>35</v>
      </c>
      <c r="H71" s="50">
        <v>9000</v>
      </c>
      <c r="I71" s="55">
        <v>1800</v>
      </c>
      <c r="J71" s="49" t="s">
        <v>36</v>
      </c>
      <c r="K71" s="49" t="s">
        <v>37</v>
      </c>
      <c r="O71" s="4"/>
    </row>
    <row r="72" spans="1:15" ht="15.75" customHeight="1">
      <c r="A72" s="49">
        <v>8</v>
      </c>
      <c r="B72" s="49" t="s">
        <v>1668</v>
      </c>
      <c r="C72" s="49" t="s">
        <v>227</v>
      </c>
      <c r="D72" s="49" t="s">
        <v>32</v>
      </c>
      <c r="E72" s="49" t="s">
        <v>241</v>
      </c>
      <c r="F72" s="49"/>
      <c r="G72" s="49" t="s">
        <v>35</v>
      </c>
      <c r="H72" s="50">
        <v>1000</v>
      </c>
      <c r="I72" s="55">
        <v>200</v>
      </c>
      <c r="J72" s="49" t="s">
        <v>36</v>
      </c>
      <c r="K72" s="49" t="s">
        <v>37</v>
      </c>
    </row>
    <row r="73" spans="1:15" ht="15.75" customHeight="1">
      <c r="A73" s="49">
        <v>8</v>
      </c>
      <c r="B73" s="49" t="s">
        <v>1669</v>
      </c>
      <c r="C73" s="49" t="s">
        <v>227</v>
      </c>
      <c r="D73" s="49" t="s">
        <v>32</v>
      </c>
      <c r="E73" s="49" t="s">
        <v>307</v>
      </c>
      <c r="F73" s="49"/>
      <c r="G73" s="49" t="s">
        <v>35</v>
      </c>
      <c r="H73" s="50">
        <v>300</v>
      </c>
      <c r="I73" s="55">
        <v>90</v>
      </c>
      <c r="J73" s="49" t="s">
        <v>36</v>
      </c>
      <c r="K73" s="49" t="s">
        <v>37</v>
      </c>
    </row>
    <row r="74" spans="1:15" ht="15.75" customHeight="1">
      <c r="A74" s="49">
        <v>8</v>
      </c>
      <c r="B74" s="49" t="s">
        <v>300</v>
      </c>
      <c r="C74" s="49" t="s">
        <v>246</v>
      </c>
      <c r="D74" s="49" t="s">
        <v>705</v>
      </c>
      <c r="E74" s="49" t="s">
        <v>51</v>
      </c>
      <c r="F74" s="49"/>
      <c r="G74" s="49" t="s">
        <v>35</v>
      </c>
      <c r="H74" s="50">
        <v>400</v>
      </c>
      <c r="I74" s="55">
        <v>120</v>
      </c>
      <c r="J74" s="49" t="s">
        <v>36</v>
      </c>
      <c r="K74" s="49" t="s">
        <v>37</v>
      </c>
    </row>
    <row r="75" spans="1:15" ht="15.75" customHeight="1">
      <c r="A75" s="49">
        <v>8</v>
      </c>
      <c r="B75" s="49" t="s">
        <v>1670</v>
      </c>
      <c r="C75" s="49" t="s">
        <v>246</v>
      </c>
      <c r="D75" s="49" t="s">
        <v>323</v>
      </c>
      <c r="E75" s="49" t="s">
        <v>232</v>
      </c>
      <c r="F75" s="49"/>
      <c r="G75" s="49" t="s">
        <v>35</v>
      </c>
      <c r="H75" s="50">
        <v>500</v>
      </c>
      <c r="I75" s="55">
        <v>100</v>
      </c>
      <c r="J75" s="49" t="s">
        <v>36</v>
      </c>
      <c r="K75" s="49" t="s">
        <v>37</v>
      </c>
    </row>
    <row r="76" spans="1:15" ht="15.75" customHeight="1">
      <c r="A76" s="49">
        <v>8</v>
      </c>
      <c r="B76" s="49" t="s">
        <v>1670</v>
      </c>
      <c r="C76" s="49" t="s">
        <v>246</v>
      </c>
      <c r="D76" s="49" t="s">
        <v>323</v>
      </c>
      <c r="E76" s="49" t="s">
        <v>232</v>
      </c>
      <c r="F76" s="49"/>
      <c r="G76" s="49" t="s">
        <v>35</v>
      </c>
      <c r="H76" s="50">
        <v>500</v>
      </c>
      <c r="I76" s="55"/>
      <c r="J76" s="49" t="s">
        <v>43</v>
      </c>
      <c r="K76" s="49" t="s">
        <v>37</v>
      </c>
    </row>
    <row r="77" spans="1:15" ht="15.75" customHeight="1">
      <c r="A77" s="49">
        <v>8</v>
      </c>
      <c r="B77" s="49" t="s">
        <v>1671</v>
      </c>
      <c r="C77" s="49" t="s">
        <v>227</v>
      </c>
      <c r="D77" s="49" t="s">
        <v>323</v>
      </c>
      <c r="E77" s="49" t="s">
        <v>232</v>
      </c>
      <c r="F77" s="49"/>
      <c r="G77" s="49" t="s">
        <v>35</v>
      </c>
      <c r="H77" s="50">
        <v>500</v>
      </c>
      <c r="I77" s="55">
        <v>100</v>
      </c>
      <c r="J77" s="49" t="s">
        <v>36</v>
      </c>
      <c r="K77" s="49" t="s">
        <v>37</v>
      </c>
    </row>
    <row r="78" spans="1:15" ht="15.75" customHeight="1">
      <c r="A78" s="49">
        <v>8</v>
      </c>
      <c r="B78" s="49" t="s">
        <v>1671</v>
      </c>
      <c r="C78" s="49" t="s">
        <v>227</v>
      </c>
      <c r="D78" s="49" t="s">
        <v>323</v>
      </c>
      <c r="E78" s="49" t="s">
        <v>232</v>
      </c>
      <c r="F78" s="49"/>
      <c r="G78" s="49" t="s">
        <v>35</v>
      </c>
      <c r="H78" s="50">
        <v>500</v>
      </c>
      <c r="I78" s="55"/>
      <c r="J78" s="49" t="s">
        <v>43</v>
      </c>
      <c r="K78" s="49" t="s">
        <v>37</v>
      </c>
    </row>
    <row r="79" spans="1:15" ht="15.75" customHeight="1">
      <c r="A79" s="49">
        <v>8</v>
      </c>
      <c r="B79" s="49" t="s">
        <v>1517</v>
      </c>
      <c r="C79" s="49" t="s">
        <v>246</v>
      </c>
      <c r="D79" s="49" t="s">
        <v>910</v>
      </c>
      <c r="E79" s="49" t="s">
        <v>164</v>
      </c>
      <c r="F79" s="49"/>
      <c r="G79" s="49" t="s">
        <v>35</v>
      </c>
      <c r="H79" s="50">
        <v>900</v>
      </c>
      <c r="I79" s="55"/>
      <c r="J79" s="49" t="s">
        <v>43</v>
      </c>
      <c r="K79" s="49" t="s">
        <v>37</v>
      </c>
    </row>
    <row r="80" spans="1:15" ht="15.75" customHeight="1">
      <c r="A80" s="49">
        <v>8</v>
      </c>
      <c r="B80" s="49" t="s">
        <v>1672</v>
      </c>
      <c r="C80" s="49" t="s">
        <v>227</v>
      </c>
      <c r="D80" s="49" t="s">
        <v>1673</v>
      </c>
      <c r="E80" s="49" t="s">
        <v>232</v>
      </c>
      <c r="F80" s="49"/>
      <c r="G80" s="49" t="s">
        <v>35</v>
      </c>
      <c r="H80" s="50">
        <v>2000</v>
      </c>
      <c r="I80" s="55">
        <v>400</v>
      </c>
      <c r="J80" s="49" t="s">
        <v>36</v>
      </c>
      <c r="K80" s="49" t="s">
        <v>37</v>
      </c>
    </row>
    <row r="81" spans="1:11" ht="15.75" customHeight="1">
      <c r="A81" s="49">
        <v>8</v>
      </c>
      <c r="B81" s="49" t="s">
        <v>1674</v>
      </c>
      <c r="C81" s="49" t="s">
        <v>227</v>
      </c>
      <c r="D81" s="49" t="s">
        <v>262</v>
      </c>
      <c r="E81" s="49" t="s">
        <v>232</v>
      </c>
      <c r="F81" s="49"/>
      <c r="G81" s="49" t="s">
        <v>35</v>
      </c>
      <c r="H81" s="50">
        <v>700</v>
      </c>
      <c r="I81" s="55">
        <v>140</v>
      </c>
      <c r="J81" s="49" t="s">
        <v>36</v>
      </c>
      <c r="K81" s="49" t="s">
        <v>37</v>
      </c>
    </row>
    <row r="82" spans="1:11" ht="15.75" customHeight="1">
      <c r="A82" s="49">
        <v>8</v>
      </c>
      <c r="B82" s="49" t="s">
        <v>771</v>
      </c>
      <c r="C82" s="49" t="s">
        <v>227</v>
      </c>
      <c r="D82" s="49" t="s">
        <v>772</v>
      </c>
      <c r="E82" s="49" t="s">
        <v>232</v>
      </c>
      <c r="F82" s="49"/>
      <c r="G82" s="49" t="s">
        <v>35</v>
      </c>
      <c r="H82" s="50">
        <v>1000</v>
      </c>
      <c r="I82" s="55">
        <v>200</v>
      </c>
      <c r="J82" s="49" t="s">
        <v>36</v>
      </c>
      <c r="K82" s="49" t="s">
        <v>37</v>
      </c>
    </row>
    <row r="83" spans="1:11" ht="15.75" customHeight="1">
      <c r="A83" s="49">
        <v>8</v>
      </c>
      <c r="B83" s="49" t="s">
        <v>1675</v>
      </c>
      <c r="C83" s="49" t="s">
        <v>227</v>
      </c>
      <c r="D83" s="49" t="s">
        <v>1676</v>
      </c>
      <c r="E83" s="49" t="s">
        <v>115</v>
      </c>
      <c r="F83" s="49"/>
      <c r="G83" s="49" t="s">
        <v>35</v>
      </c>
      <c r="H83" s="50">
        <v>1500</v>
      </c>
      <c r="I83" s="55">
        <v>600</v>
      </c>
      <c r="J83" s="49" t="s">
        <v>117</v>
      </c>
      <c r="K83" s="49" t="s">
        <v>37</v>
      </c>
    </row>
    <row r="84" spans="1:11" ht="15.75" customHeight="1">
      <c r="A84" s="49">
        <v>8</v>
      </c>
      <c r="B84" s="49" t="s">
        <v>1579</v>
      </c>
      <c r="C84" s="49" t="s">
        <v>227</v>
      </c>
      <c r="D84" s="49" t="s">
        <v>421</v>
      </c>
      <c r="E84" s="49" t="s">
        <v>251</v>
      </c>
      <c r="F84" s="49"/>
      <c r="G84" s="49" t="s">
        <v>35</v>
      </c>
      <c r="H84" s="50">
        <v>300</v>
      </c>
      <c r="I84" s="55">
        <v>90</v>
      </c>
      <c r="J84" s="49" t="s">
        <v>36</v>
      </c>
      <c r="K84" s="49" t="s">
        <v>37</v>
      </c>
    </row>
    <row r="85" spans="1:11" ht="15.75" customHeight="1">
      <c r="A85" s="49">
        <v>8</v>
      </c>
      <c r="B85" s="49" t="s">
        <v>1677</v>
      </c>
      <c r="C85" s="49" t="s">
        <v>227</v>
      </c>
      <c r="D85" s="49" t="s">
        <v>1678</v>
      </c>
      <c r="E85" s="49" t="s">
        <v>1679</v>
      </c>
      <c r="F85" s="49"/>
      <c r="G85" s="49" t="s">
        <v>35</v>
      </c>
      <c r="H85" s="50">
        <v>100</v>
      </c>
      <c r="I85" s="55">
        <v>50</v>
      </c>
      <c r="J85" s="49" t="s">
        <v>36</v>
      </c>
      <c r="K85" s="49" t="s">
        <v>37</v>
      </c>
    </row>
    <row r="86" spans="1:11" ht="15.75" customHeight="1">
      <c r="A86" s="49">
        <v>8</v>
      </c>
      <c r="B86" s="49" t="s">
        <v>1680</v>
      </c>
      <c r="C86" s="49" t="s">
        <v>227</v>
      </c>
      <c r="D86" s="49" t="s">
        <v>1232</v>
      </c>
      <c r="E86" s="49" t="s">
        <v>254</v>
      </c>
      <c r="F86" s="49"/>
      <c r="G86" s="49" t="s">
        <v>35</v>
      </c>
      <c r="H86" s="50">
        <v>200</v>
      </c>
      <c r="I86" s="55">
        <v>60</v>
      </c>
      <c r="J86" s="49" t="s">
        <v>36</v>
      </c>
      <c r="K86" s="49" t="s">
        <v>37</v>
      </c>
    </row>
    <row r="87" spans="1:11" ht="15.75" customHeight="1">
      <c r="A87" s="49">
        <v>8</v>
      </c>
      <c r="B87" s="49" t="s">
        <v>1681</v>
      </c>
      <c r="C87" s="49" t="s">
        <v>227</v>
      </c>
      <c r="D87" s="49" t="s">
        <v>323</v>
      </c>
      <c r="E87" s="49" t="s">
        <v>232</v>
      </c>
      <c r="F87" s="49"/>
      <c r="G87" s="49" t="s">
        <v>35</v>
      </c>
      <c r="H87" s="50">
        <v>2000</v>
      </c>
      <c r="I87" s="55">
        <v>400</v>
      </c>
      <c r="J87" s="49" t="s">
        <v>36</v>
      </c>
      <c r="K87" s="49" t="s">
        <v>37</v>
      </c>
    </row>
    <row r="88" spans="1:11" ht="15.75" customHeight="1">
      <c r="A88" s="49">
        <v>8</v>
      </c>
      <c r="B88" s="49" t="s">
        <v>1682</v>
      </c>
      <c r="C88" s="49" t="s">
        <v>227</v>
      </c>
      <c r="D88" s="49" t="s">
        <v>751</v>
      </c>
      <c r="E88" s="49" t="s">
        <v>193</v>
      </c>
      <c r="F88" s="49"/>
      <c r="G88" s="49" t="s">
        <v>35</v>
      </c>
      <c r="H88" s="50">
        <v>2000</v>
      </c>
      <c r="I88" s="55">
        <v>400</v>
      </c>
      <c r="J88" s="49" t="s">
        <v>36</v>
      </c>
      <c r="K88" s="49" t="s">
        <v>37</v>
      </c>
    </row>
    <row r="89" spans="1:11" ht="15.75" customHeight="1">
      <c r="A89" s="49">
        <v>8</v>
      </c>
      <c r="B89" s="49" t="s">
        <v>1683</v>
      </c>
      <c r="C89" s="49" t="s">
        <v>227</v>
      </c>
      <c r="D89" s="49" t="s">
        <v>32</v>
      </c>
      <c r="E89" s="49" t="s">
        <v>307</v>
      </c>
      <c r="F89" s="49"/>
      <c r="G89" s="49" t="s">
        <v>35</v>
      </c>
      <c r="H89" s="50">
        <v>100</v>
      </c>
      <c r="I89" s="55">
        <v>20</v>
      </c>
      <c r="J89" s="49" t="s">
        <v>36</v>
      </c>
      <c r="K89" s="49" t="s">
        <v>37</v>
      </c>
    </row>
    <row r="90" spans="1:11" ht="15.75" customHeight="1">
      <c r="A90" s="49">
        <v>8</v>
      </c>
      <c r="B90" s="49" t="s">
        <v>1684</v>
      </c>
      <c r="C90" s="49" t="s">
        <v>227</v>
      </c>
      <c r="D90" s="49" t="s">
        <v>679</v>
      </c>
      <c r="E90" s="49" t="s">
        <v>232</v>
      </c>
      <c r="F90" s="49"/>
      <c r="G90" s="49" t="s">
        <v>35</v>
      </c>
      <c r="H90" s="50">
        <v>500</v>
      </c>
      <c r="I90" s="55">
        <v>100</v>
      </c>
      <c r="J90" s="49" t="s">
        <v>36</v>
      </c>
      <c r="K90" s="49" t="s">
        <v>37</v>
      </c>
    </row>
    <row r="91" spans="1:11" ht="15.75" customHeight="1">
      <c r="A91" s="49">
        <v>9</v>
      </c>
      <c r="B91" s="49" t="s">
        <v>1685</v>
      </c>
      <c r="C91" s="49" t="s">
        <v>227</v>
      </c>
      <c r="D91" s="49" t="s">
        <v>1042</v>
      </c>
      <c r="E91" s="49" t="s">
        <v>251</v>
      </c>
      <c r="F91" s="49"/>
      <c r="G91" s="49" t="s">
        <v>35</v>
      </c>
      <c r="H91" s="50">
        <v>400</v>
      </c>
      <c r="I91" s="55">
        <v>80</v>
      </c>
      <c r="J91" s="49" t="s">
        <v>36</v>
      </c>
      <c r="K91" s="49" t="s">
        <v>37</v>
      </c>
    </row>
    <row r="92" spans="1:11" ht="15.75" customHeight="1">
      <c r="A92" s="49">
        <v>9</v>
      </c>
      <c r="B92" s="49" t="s">
        <v>1686</v>
      </c>
      <c r="C92" s="49" t="s">
        <v>227</v>
      </c>
      <c r="D92" s="49" t="s">
        <v>32</v>
      </c>
      <c r="E92" s="49" t="s">
        <v>241</v>
      </c>
      <c r="F92" s="49"/>
      <c r="G92" s="49" t="s">
        <v>35</v>
      </c>
      <c r="H92" s="50">
        <v>1500</v>
      </c>
      <c r="I92" s="55">
        <v>300</v>
      </c>
      <c r="J92" s="49" t="s">
        <v>36</v>
      </c>
      <c r="K92" s="49" t="s">
        <v>37</v>
      </c>
    </row>
    <row r="93" spans="1:11" ht="15.75" customHeight="1">
      <c r="A93" s="49">
        <v>9</v>
      </c>
      <c r="B93" s="49" t="s">
        <v>1687</v>
      </c>
      <c r="C93" s="49" t="s">
        <v>227</v>
      </c>
      <c r="D93" s="49" t="s">
        <v>1688</v>
      </c>
      <c r="E93" s="49" t="s">
        <v>164</v>
      </c>
      <c r="F93" s="49"/>
      <c r="G93" s="49" t="s">
        <v>35</v>
      </c>
      <c r="H93" s="50">
        <v>6500</v>
      </c>
      <c r="I93" s="55">
        <v>1300</v>
      </c>
      <c r="J93" s="49" t="s">
        <v>36</v>
      </c>
      <c r="K93" s="49" t="s">
        <v>37</v>
      </c>
    </row>
    <row r="94" spans="1:11" ht="15.75" customHeight="1">
      <c r="A94" s="49">
        <v>9</v>
      </c>
      <c r="B94" s="49" t="s">
        <v>1689</v>
      </c>
      <c r="C94" s="49" t="s">
        <v>227</v>
      </c>
      <c r="D94" s="49" t="s">
        <v>1690</v>
      </c>
      <c r="E94" s="49" t="s">
        <v>51</v>
      </c>
      <c r="F94" s="49"/>
      <c r="G94" s="49" t="s">
        <v>35</v>
      </c>
      <c r="H94" s="50">
        <v>600</v>
      </c>
      <c r="I94" s="55">
        <v>180</v>
      </c>
      <c r="J94" s="49" t="s">
        <v>36</v>
      </c>
      <c r="K94" s="49" t="s">
        <v>37</v>
      </c>
    </row>
    <row r="95" spans="1:11" ht="15.75" customHeight="1">
      <c r="A95" s="49">
        <v>9</v>
      </c>
      <c r="B95" s="49" t="s">
        <v>1691</v>
      </c>
      <c r="C95" s="49" t="s">
        <v>227</v>
      </c>
      <c r="D95" s="49" t="s">
        <v>959</v>
      </c>
      <c r="E95" s="49" t="s">
        <v>507</v>
      </c>
      <c r="F95" s="49"/>
      <c r="G95" s="49" t="s">
        <v>35</v>
      </c>
      <c r="H95" s="50">
        <v>500</v>
      </c>
      <c r="I95" s="55">
        <v>150</v>
      </c>
      <c r="J95" s="49" t="s">
        <v>36</v>
      </c>
      <c r="K95" s="49" t="s">
        <v>37</v>
      </c>
    </row>
    <row r="96" spans="1:11" ht="15.75" customHeight="1">
      <c r="A96" s="49">
        <v>9</v>
      </c>
      <c r="B96" s="49" t="s">
        <v>1692</v>
      </c>
      <c r="C96" s="49" t="s">
        <v>227</v>
      </c>
      <c r="D96" s="49" t="s">
        <v>385</v>
      </c>
      <c r="E96" s="49" t="s">
        <v>232</v>
      </c>
      <c r="F96" s="49"/>
      <c r="G96" s="49" t="s">
        <v>35</v>
      </c>
      <c r="H96" s="50">
        <v>1000</v>
      </c>
      <c r="I96" s="55">
        <v>200</v>
      </c>
      <c r="J96" s="49" t="s">
        <v>36</v>
      </c>
      <c r="K96" s="49" t="s">
        <v>37</v>
      </c>
    </row>
    <row r="97" spans="1:15" ht="15.75" customHeight="1">
      <c r="A97" s="49">
        <v>9</v>
      </c>
      <c r="B97" s="49" t="s">
        <v>1693</v>
      </c>
      <c r="C97" s="49" t="s">
        <v>227</v>
      </c>
      <c r="D97" s="49" t="s">
        <v>1198</v>
      </c>
      <c r="E97" s="49" t="s">
        <v>51</v>
      </c>
      <c r="F97" s="49"/>
      <c r="G97" s="49" t="s">
        <v>35</v>
      </c>
      <c r="H97" s="50">
        <v>1500</v>
      </c>
      <c r="I97" s="55">
        <v>450</v>
      </c>
      <c r="J97" s="49" t="s">
        <v>36</v>
      </c>
      <c r="K97" s="49" t="s">
        <v>37</v>
      </c>
    </row>
    <row r="98" spans="1:15" ht="15.75" customHeight="1">
      <c r="A98" s="49">
        <v>9</v>
      </c>
      <c r="B98" s="49" t="s">
        <v>1694</v>
      </c>
      <c r="C98" s="49" t="s">
        <v>246</v>
      </c>
      <c r="D98" s="49" t="s">
        <v>694</v>
      </c>
      <c r="E98" s="49" t="s">
        <v>235</v>
      </c>
      <c r="F98" s="49"/>
      <c r="G98" s="49" t="s">
        <v>35</v>
      </c>
      <c r="H98" s="50">
        <v>3000</v>
      </c>
      <c r="I98" s="55">
        <v>900</v>
      </c>
      <c r="J98" s="49" t="s">
        <v>36</v>
      </c>
      <c r="K98" s="49" t="s">
        <v>37</v>
      </c>
    </row>
    <row r="99" spans="1:15" ht="15.75" customHeight="1">
      <c r="A99" s="49">
        <v>9</v>
      </c>
      <c r="B99" s="49" t="s">
        <v>1695</v>
      </c>
      <c r="C99" s="49" t="s">
        <v>246</v>
      </c>
      <c r="D99" s="49" t="s">
        <v>247</v>
      </c>
      <c r="E99" s="49" t="s">
        <v>248</v>
      </c>
      <c r="F99" s="49"/>
      <c r="G99" s="49" t="s">
        <v>35</v>
      </c>
      <c r="H99" s="50">
        <v>3000</v>
      </c>
      <c r="I99" s="55">
        <v>1200</v>
      </c>
      <c r="J99" s="49" t="s">
        <v>36</v>
      </c>
      <c r="K99" s="49" t="s">
        <v>37</v>
      </c>
    </row>
    <row r="100" spans="1:15" ht="15.75" customHeight="1">
      <c r="A100" s="49">
        <v>9</v>
      </c>
      <c r="B100" s="49" t="s">
        <v>1530</v>
      </c>
      <c r="C100" s="49" t="s">
        <v>227</v>
      </c>
      <c r="D100" s="49" t="s">
        <v>598</v>
      </c>
      <c r="E100" s="49" t="s">
        <v>232</v>
      </c>
      <c r="F100" s="49"/>
      <c r="G100" s="49" t="s">
        <v>35</v>
      </c>
      <c r="H100" s="50">
        <v>1500</v>
      </c>
      <c r="I100" s="55">
        <v>300</v>
      </c>
      <c r="J100" s="49" t="s">
        <v>36</v>
      </c>
      <c r="K100" s="49" t="s">
        <v>37</v>
      </c>
    </row>
    <row r="101" spans="1:15" ht="15.75" customHeight="1">
      <c r="A101" s="49">
        <v>9</v>
      </c>
      <c r="B101" s="49" t="s">
        <v>1696</v>
      </c>
      <c r="C101" s="49" t="s">
        <v>227</v>
      </c>
      <c r="D101" s="49" t="s">
        <v>947</v>
      </c>
      <c r="E101" s="49" t="s">
        <v>507</v>
      </c>
      <c r="F101" s="49"/>
      <c r="G101" s="49" t="s">
        <v>35</v>
      </c>
      <c r="H101" s="50">
        <v>4000</v>
      </c>
      <c r="I101" s="55">
        <v>800</v>
      </c>
      <c r="J101" s="49" t="s">
        <v>36</v>
      </c>
      <c r="K101" s="49" t="s">
        <v>37</v>
      </c>
    </row>
    <row r="102" spans="1:15" ht="15.75" customHeight="1">
      <c r="A102" s="49">
        <v>10</v>
      </c>
      <c r="B102" s="49" t="s">
        <v>1697</v>
      </c>
      <c r="C102" s="49" t="s">
        <v>246</v>
      </c>
      <c r="D102" s="49" t="s">
        <v>864</v>
      </c>
      <c r="E102" s="49" t="s">
        <v>51</v>
      </c>
      <c r="F102" s="49"/>
      <c r="G102" s="49" t="s">
        <v>35</v>
      </c>
      <c r="H102" s="50">
        <v>200</v>
      </c>
      <c r="I102" s="55">
        <v>60</v>
      </c>
      <c r="J102" s="49" t="s">
        <v>36</v>
      </c>
      <c r="K102" s="49" t="s">
        <v>37</v>
      </c>
    </row>
    <row r="103" spans="1:15" ht="15.75" customHeight="1">
      <c r="A103" s="49">
        <v>10</v>
      </c>
      <c r="B103" s="49" t="s">
        <v>1628</v>
      </c>
      <c r="C103" s="49" t="s">
        <v>227</v>
      </c>
      <c r="D103" s="49" t="s">
        <v>947</v>
      </c>
      <c r="E103" s="49" t="s">
        <v>164</v>
      </c>
      <c r="F103" s="49"/>
      <c r="G103" s="49" t="s">
        <v>35</v>
      </c>
      <c r="H103" s="50">
        <v>100</v>
      </c>
      <c r="I103" s="55">
        <v>30</v>
      </c>
      <c r="J103" s="49" t="s">
        <v>36</v>
      </c>
      <c r="K103" s="49" t="s">
        <v>37</v>
      </c>
    </row>
    <row r="104" spans="1:15" ht="15.75" customHeight="1">
      <c r="A104" s="49">
        <v>10</v>
      </c>
      <c r="B104" s="49" t="s">
        <v>1698</v>
      </c>
      <c r="C104" s="49" t="s">
        <v>227</v>
      </c>
      <c r="D104" s="49" t="s">
        <v>385</v>
      </c>
      <c r="E104" s="49" t="s">
        <v>232</v>
      </c>
      <c r="F104" s="49"/>
      <c r="G104" s="49" t="s">
        <v>35</v>
      </c>
      <c r="H104" s="50">
        <v>1000</v>
      </c>
      <c r="I104" s="55">
        <v>200</v>
      </c>
      <c r="J104" s="49" t="s">
        <v>36</v>
      </c>
      <c r="K104" s="49" t="s">
        <v>37</v>
      </c>
    </row>
    <row r="105" spans="1:15" ht="15.75" customHeight="1">
      <c r="A105" s="49">
        <v>10</v>
      </c>
      <c r="B105" s="49" t="s">
        <v>1699</v>
      </c>
      <c r="C105" s="49" t="s">
        <v>227</v>
      </c>
      <c r="D105" s="49" t="s">
        <v>619</v>
      </c>
      <c r="E105" s="49" t="s">
        <v>51</v>
      </c>
      <c r="F105" s="49"/>
      <c r="G105" s="49" t="s">
        <v>35</v>
      </c>
      <c r="H105" s="50">
        <v>2500</v>
      </c>
      <c r="I105" s="55">
        <v>750</v>
      </c>
      <c r="J105" s="49" t="s">
        <v>36</v>
      </c>
      <c r="K105" s="49" t="s">
        <v>37</v>
      </c>
    </row>
    <row r="106" spans="1:15" ht="15.75" customHeight="1">
      <c r="A106" s="49">
        <v>10</v>
      </c>
      <c r="B106" s="49" t="s">
        <v>1700</v>
      </c>
      <c r="C106" s="49" t="s">
        <v>227</v>
      </c>
      <c r="D106" s="49" t="s">
        <v>323</v>
      </c>
      <c r="E106" s="49" t="s">
        <v>232</v>
      </c>
      <c r="F106" s="49"/>
      <c r="G106" s="49" t="s">
        <v>35</v>
      </c>
      <c r="H106" s="50">
        <v>500</v>
      </c>
      <c r="I106" s="55">
        <v>100</v>
      </c>
      <c r="J106" s="49" t="s">
        <v>36</v>
      </c>
      <c r="K106" s="49" t="s">
        <v>37</v>
      </c>
    </row>
    <row r="107" spans="1:15" ht="15.75" customHeight="1">
      <c r="A107" s="49">
        <v>10</v>
      </c>
      <c r="B107" s="49" t="s">
        <v>1701</v>
      </c>
      <c r="C107" s="49" t="s">
        <v>227</v>
      </c>
      <c r="D107" s="49" t="s">
        <v>446</v>
      </c>
      <c r="E107" s="49" t="s">
        <v>164</v>
      </c>
      <c r="F107" s="49"/>
      <c r="G107" s="49" t="s">
        <v>35</v>
      </c>
      <c r="H107" s="50">
        <v>8000</v>
      </c>
      <c r="I107" s="55">
        <v>1600</v>
      </c>
      <c r="J107" s="49" t="s">
        <v>36</v>
      </c>
      <c r="K107" s="49" t="s">
        <v>37</v>
      </c>
      <c r="O107" s="4"/>
    </row>
    <row r="108" spans="1:15" ht="15.75" customHeight="1">
      <c r="A108" s="49">
        <v>10</v>
      </c>
      <c r="B108" s="49" t="s">
        <v>1702</v>
      </c>
      <c r="C108" s="49" t="s">
        <v>227</v>
      </c>
      <c r="D108" s="49" t="s">
        <v>446</v>
      </c>
      <c r="E108" s="49" t="s">
        <v>164</v>
      </c>
      <c r="F108" s="49"/>
      <c r="G108" s="50" t="s">
        <v>35</v>
      </c>
      <c r="H108" s="50">
        <v>14000</v>
      </c>
      <c r="I108" s="55">
        <v>2000</v>
      </c>
      <c r="J108" s="49" t="s">
        <v>36</v>
      </c>
      <c r="K108" s="49" t="s">
        <v>37</v>
      </c>
      <c r="O108" s="4"/>
    </row>
    <row r="109" spans="1:15" ht="15.75" customHeight="1">
      <c r="A109" s="49">
        <v>11</v>
      </c>
      <c r="B109" s="49" t="s">
        <v>1703</v>
      </c>
      <c r="C109" s="49" t="s">
        <v>246</v>
      </c>
      <c r="D109" s="49" t="s">
        <v>826</v>
      </c>
      <c r="E109" s="49" t="s">
        <v>106</v>
      </c>
      <c r="F109" s="49"/>
      <c r="G109" s="49" t="s">
        <v>35</v>
      </c>
      <c r="H109" s="50">
        <v>5000</v>
      </c>
      <c r="I109" s="55">
        <v>1500</v>
      </c>
      <c r="J109" s="49" t="s">
        <v>36</v>
      </c>
      <c r="K109" s="49" t="s">
        <v>37</v>
      </c>
      <c r="O109" s="4"/>
    </row>
    <row r="110" spans="1:15" ht="15.75" customHeight="1">
      <c r="A110" s="49">
        <v>11</v>
      </c>
      <c r="B110" s="49" t="s">
        <v>1551</v>
      </c>
      <c r="C110" s="49" t="s">
        <v>227</v>
      </c>
      <c r="D110" s="49" t="s">
        <v>1552</v>
      </c>
      <c r="E110" s="49" t="s">
        <v>164</v>
      </c>
      <c r="F110" s="49"/>
      <c r="G110" s="49" t="s">
        <v>120</v>
      </c>
      <c r="H110" s="50">
        <v>10</v>
      </c>
      <c r="I110" s="55">
        <v>50</v>
      </c>
      <c r="J110" s="49" t="s">
        <v>36</v>
      </c>
      <c r="K110" s="49" t="s">
        <v>37</v>
      </c>
    </row>
    <row r="111" spans="1:15" ht="15.75" customHeight="1">
      <c r="A111" s="49">
        <v>11</v>
      </c>
      <c r="B111" s="49" t="s">
        <v>1551</v>
      </c>
      <c r="C111" s="49" t="s">
        <v>227</v>
      </c>
      <c r="D111" s="49" t="s">
        <v>1552</v>
      </c>
      <c r="E111" s="49" t="s">
        <v>164</v>
      </c>
      <c r="F111" s="49"/>
      <c r="G111" s="49" t="s">
        <v>242</v>
      </c>
      <c r="H111" s="50">
        <v>10</v>
      </c>
      <c r="I111" s="55">
        <v>30</v>
      </c>
      <c r="J111" s="49" t="s">
        <v>36</v>
      </c>
      <c r="K111" s="49" t="s">
        <v>37</v>
      </c>
    </row>
    <row r="112" spans="1:15" ht="15.75" customHeight="1">
      <c r="A112" s="49">
        <v>11</v>
      </c>
      <c r="B112" s="49" t="s">
        <v>1704</v>
      </c>
      <c r="C112" s="49" t="s">
        <v>227</v>
      </c>
      <c r="D112" s="49" t="s">
        <v>527</v>
      </c>
      <c r="E112" s="49" t="s">
        <v>199</v>
      </c>
      <c r="F112" s="49"/>
      <c r="G112" s="49" t="s">
        <v>35</v>
      </c>
      <c r="H112" s="50">
        <v>10000</v>
      </c>
      <c r="I112" s="55">
        <v>2000</v>
      </c>
      <c r="J112" s="49" t="s">
        <v>36</v>
      </c>
      <c r="K112" s="49" t="s">
        <v>37</v>
      </c>
      <c r="O112" s="4"/>
    </row>
    <row r="113" spans="1:17" ht="15.75" customHeight="1">
      <c r="A113" s="49">
        <v>11</v>
      </c>
      <c r="B113" s="49" t="s">
        <v>1493</v>
      </c>
      <c r="C113" s="49" t="s">
        <v>227</v>
      </c>
      <c r="D113" s="49" t="s">
        <v>1705</v>
      </c>
      <c r="E113" s="49" t="s">
        <v>193</v>
      </c>
      <c r="F113" s="49"/>
      <c r="G113" s="49" t="s">
        <v>35</v>
      </c>
      <c r="H113" s="50">
        <v>3000</v>
      </c>
      <c r="I113" s="55">
        <v>600</v>
      </c>
      <c r="J113" s="49" t="s">
        <v>36</v>
      </c>
      <c r="K113" s="49" t="s">
        <v>37</v>
      </c>
    </row>
    <row r="114" spans="1:17" ht="15.75" customHeight="1">
      <c r="A114" s="49">
        <v>11</v>
      </c>
      <c r="B114" s="49" t="s">
        <v>614</v>
      </c>
      <c r="C114" s="49" t="s">
        <v>227</v>
      </c>
      <c r="D114" s="49" t="s">
        <v>548</v>
      </c>
      <c r="E114" s="49" t="s">
        <v>232</v>
      </c>
      <c r="F114" s="49"/>
      <c r="G114" s="49" t="s">
        <v>35</v>
      </c>
      <c r="H114" s="50">
        <v>1000</v>
      </c>
      <c r="I114" s="55">
        <v>200</v>
      </c>
      <c r="J114" s="49" t="s">
        <v>36</v>
      </c>
      <c r="K114" s="49" t="s">
        <v>37</v>
      </c>
    </row>
    <row r="115" spans="1:17" ht="15.75" customHeight="1">
      <c r="A115" s="49">
        <v>11</v>
      </c>
      <c r="B115" s="49" t="s">
        <v>614</v>
      </c>
      <c r="C115" s="49" t="s">
        <v>227</v>
      </c>
      <c r="D115" s="49" t="s">
        <v>548</v>
      </c>
      <c r="E115" s="49" t="s">
        <v>232</v>
      </c>
      <c r="F115" s="49"/>
      <c r="G115" s="49" t="s">
        <v>35</v>
      </c>
      <c r="H115" s="50">
        <v>750</v>
      </c>
      <c r="I115" s="55">
        <v>225</v>
      </c>
      <c r="J115" s="49" t="s">
        <v>36</v>
      </c>
      <c r="K115" s="49" t="s">
        <v>37</v>
      </c>
    </row>
    <row r="116" spans="1:17" ht="15.75" customHeight="1">
      <c r="A116" s="49">
        <v>11</v>
      </c>
      <c r="B116" s="49" t="s">
        <v>1706</v>
      </c>
      <c r="C116" s="49" t="s">
        <v>227</v>
      </c>
      <c r="D116" s="49" t="s">
        <v>616</v>
      </c>
      <c r="E116" s="49" t="s">
        <v>241</v>
      </c>
      <c r="F116" s="49"/>
      <c r="G116" s="49" t="s">
        <v>35</v>
      </c>
      <c r="H116" s="50">
        <v>2000</v>
      </c>
      <c r="I116" s="55">
        <v>400</v>
      </c>
      <c r="J116" s="49" t="s">
        <v>36</v>
      </c>
      <c r="K116" s="49" t="s">
        <v>37</v>
      </c>
    </row>
    <row r="117" spans="1:17" ht="15.75" customHeight="1">
      <c r="A117" s="49">
        <v>12</v>
      </c>
      <c r="B117" s="49" t="s">
        <v>1707</v>
      </c>
      <c r="C117" s="49" t="s">
        <v>246</v>
      </c>
      <c r="D117" s="49" t="s">
        <v>1708</v>
      </c>
      <c r="E117" s="49" t="s">
        <v>193</v>
      </c>
      <c r="F117" s="49"/>
      <c r="G117" s="49" t="s">
        <v>35</v>
      </c>
      <c r="H117" s="50">
        <v>15000</v>
      </c>
      <c r="I117" s="55">
        <v>3000</v>
      </c>
      <c r="J117" s="49" t="s">
        <v>36</v>
      </c>
      <c r="K117" s="49" t="s">
        <v>37</v>
      </c>
      <c r="O117" s="4"/>
      <c r="Q117" s="4"/>
    </row>
    <row r="118" spans="1:17" ht="15.75" customHeight="1">
      <c r="A118" s="49">
        <v>12</v>
      </c>
      <c r="B118" s="49" t="s">
        <v>1709</v>
      </c>
      <c r="C118" s="49" t="s">
        <v>227</v>
      </c>
      <c r="D118" s="49" t="s">
        <v>407</v>
      </c>
      <c r="E118" s="49" t="s">
        <v>321</v>
      </c>
      <c r="F118" s="49"/>
      <c r="G118" s="49" t="s">
        <v>35</v>
      </c>
      <c r="H118" s="50">
        <v>1000</v>
      </c>
      <c r="I118" s="55">
        <v>200</v>
      </c>
      <c r="J118" s="49" t="s">
        <v>36</v>
      </c>
      <c r="K118" s="49" t="s">
        <v>37</v>
      </c>
    </row>
    <row r="119" spans="1:17" ht="15.75" customHeight="1">
      <c r="A119" s="49">
        <v>12</v>
      </c>
      <c r="B119" s="49" t="s">
        <v>1710</v>
      </c>
      <c r="C119" s="49" t="s">
        <v>227</v>
      </c>
      <c r="D119" s="49" t="s">
        <v>32</v>
      </c>
      <c r="E119" s="49" t="s">
        <v>164</v>
      </c>
      <c r="F119" s="49"/>
      <c r="G119" s="49" t="s">
        <v>35</v>
      </c>
      <c r="H119" s="50">
        <v>6000</v>
      </c>
      <c r="I119" s="55">
        <v>1200</v>
      </c>
      <c r="J119" s="49" t="s">
        <v>36</v>
      </c>
      <c r="K119" s="49" t="s">
        <v>37</v>
      </c>
      <c r="O119" s="4"/>
    </row>
    <row r="120" spans="1:17" ht="15.75" customHeight="1">
      <c r="A120" s="49">
        <v>12</v>
      </c>
      <c r="B120" s="49" t="s">
        <v>1711</v>
      </c>
      <c r="C120" s="49" t="s">
        <v>227</v>
      </c>
      <c r="D120" s="49" t="s">
        <v>1712</v>
      </c>
      <c r="E120" s="49" t="s">
        <v>33</v>
      </c>
      <c r="F120" s="49"/>
      <c r="G120" s="49" t="s">
        <v>35</v>
      </c>
      <c r="H120" s="50">
        <v>3000</v>
      </c>
      <c r="I120" s="55">
        <v>600</v>
      </c>
      <c r="J120" s="49" t="s">
        <v>36</v>
      </c>
      <c r="K120" s="49" t="s">
        <v>37</v>
      </c>
    </row>
    <row r="121" spans="1:17" ht="15.75" customHeight="1">
      <c r="A121" s="49">
        <v>12</v>
      </c>
      <c r="B121" s="49" t="s">
        <v>1713</v>
      </c>
      <c r="C121" s="49" t="s">
        <v>227</v>
      </c>
      <c r="D121" s="49" t="s">
        <v>33</v>
      </c>
      <c r="E121" s="49" t="s">
        <v>307</v>
      </c>
      <c r="F121" s="49"/>
      <c r="G121" s="49" t="s">
        <v>35</v>
      </c>
      <c r="H121" s="50">
        <v>300</v>
      </c>
      <c r="I121" s="55">
        <v>60</v>
      </c>
      <c r="J121" s="49" t="s">
        <v>36</v>
      </c>
      <c r="K121" s="49" t="s">
        <v>37</v>
      </c>
      <c r="O121" s="4"/>
    </row>
    <row r="122" spans="1:17" ht="15.75" customHeight="1">
      <c r="A122" s="49">
        <v>12</v>
      </c>
      <c r="B122" s="49" t="s">
        <v>1714</v>
      </c>
      <c r="C122" s="49" t="s">
        <v>246</v>
      </c>
      <c r="D122" s="49" t="s">
        <v>602</v>
      </c>
      <c r="E122" s="49" t="s">
        <v>235</v>
      </c>
      <c r="F122" s="49"/>
      <c r="G122" s="49" t="s">
        <v>35</v>
      </c>
      <c r="H122" s="50">
        <v>1500</v>
      </c>
      <c r="I122" s="55">
        <v>450</v>
      </c>
      <c r="J122" s="49" t="s">
        <v>36</v>
      </c>
      <c r="K122" s="49" t="s">
        <v>37</v>
      </c>
    </row>
    <row r="123" spans="1:17" ht="15.75" customHeight="1">
      <c r="A123" s="49">
        <v>12</v>
      </c>
      <c r="B123" s="49" t="s">
        <v>1715</v>
      </c>
      <c r="C123" s="49" t="s">
        <v>227</v>
      </c>
      <c r="D123" s="49" t="s">
        <v>32</v>
      </c>
      <c r="E123" s="49" t="s">
        <v>241</v>
      </c>
      <c r="F123" s="49"/>
      <c r="G123" s="49" t="s">
        <v>35</v>
      </c>
      <c r="H123" s="50">
        <v>5000</v>
      </c>
      <c r="I123" s="55">
        <v>1000</v>
      </c>
      <c r="J123" s="49" t="s">
        <v>36</v>
      </c>
      <c r="K123" s="49" t="s">
        <v>37</v>
      </c>
      <c r="O123" s="4"/>
    </row>
    <row r="124" spans="1:17" ht="15.75" customHeight="1">
      <c r="A124" s="49">
        <v>12</v>
      </c>
      <c r="B124" s="49" t="s">
        <v>1716</v>
      </c>
      <c r="C124" s="49" t="s">
        <v>227</v>
      </c>
      <c r="D124" s="49" t="s">
        <v>32</v>
      </c>
      <c r="E124" s="49" t="s">
        <v>241</v>
      </c>
      <c r="F124" s="49"/>
      <c r="G124" s="49" t="s">
        <v>35</v>
      </c>
      <c r="H124" s="50">
        <v>1500</v>
      </c>
      <c r="I124" s="55">
        <v>300</v>
      </c>
      <c r="J124" s="49" t="s">
        <v>36</v>
      </c>
      <c r="K124" s="49" t="s">
        <v>37</v>
      </c>
    </row>
    <row r="125" spans="1:17" ht="15.75" customHeight="1">
      <c r="A125" s="49">
        <v>12</v>
      </c>
      <c r="B125" s="49" t="s">
        <v>1717</v>
      </c>
      <c r="C125" s="49" t="s">
        <v>246</v>
      </c>
      <c r="D125" s="49" t="s">
        <v>250</v>
      </c>
      <c r="E125" s="49" t="s">
        <v>251</v>
      </c>
      <c r="F125" s="49"/>
      <c r="G125" s="49" t="s">
        <v>35</v>
      </c>
      <c r="H125" s="50">
        <v>100</v>
      </c>
      <c r="I125" s="55">
        <v>20</v>
      </c>
      <c r="J125" s="49" t="s">
        <v>36</v>
      </c>
      <c r="K125" s="49" t="s">
        <v>37</v>
      </c>
      <c r="O125" s="4"/>
    </row>
    <row r="126" spans="1:17" ht="15.75" customHeight="1">
      <c r="A126" s="49">
        <v>12</v>
      </c>
      <c r="B126" s="49" t="s">
        <v>1718</v>
      </c>
      <c r="C126" s="49" t="s">
        <v>227</v>
      </c>
      <c r="D126" s="49" t="s">
        <v>873</v>
      </c>
      <c r="E126" s="49" t="s">
        <v>251</v>
      </c>
      <c r="F126" s="49"/>
      <c r="G126" s="49" t="s">
        <v>120</v>
      </c>
      <c r="H126" s="50">
        <v>6</v>
      </c>
      <c r="I126" s="55">
        <v>150</v>
      </c>
      <c r="J126" s="49" t="s">
        <v>36</v>
      </c>
      <c r="K126" s="49" t="s">
        <v>37</v>
      </c>
    </row>
    <row r="127" spans="1:17" ht="15.75" customHeight="1">
      <c r="A127" s="49">
        <v>12</v>
      </c>
      <c r="B127" s="49" t="s">
        <v>1694</v>
      </c>
      <c r="C127" s="49" t="s">
        <v>246</v>
      </c>
      <c r="D127" s="49" t="s">
        <v>694</v>
      </c>
      <c r="E127" s="49" t="s">
        <v>235</v>
      </c>
      <c r="F127" s="49"/>
      <c r="G127" s="49" t="s">
        <v>35</v>
      </c>
      <c r="H127" s="50">
        <v>1000</v>
      </c>
      <c r="I127" s="55">
        <v>300</v>
      </c>
      <c r="J127" s="49" t="s">
        <v>36</v>
      </c>
      <c r="K127" s="49" t="s">
        <v>37</v>
      </c>
      <c r="O127" s="4"/>
    </row>
    <row r="128" spans="1:17" ht="15.75" customHeight="1">
      <c r="A128" s="49">
        <v>12</v>
      </c>
      <c r="B128" s="49" t="s">
        <v>1719</v>
      </c>
      <c r="C128" s="49" t="s">
        <v>246</v>
      </c>
      <c r="D128" s="49" t="s">
        <v>554</v>
      </c>
      <c r="E128" s="49" t="s">
        <v>232</v>
      </c>
      <c r="F128" s="49"/>
      <c r="G128" s="49" t="s">
        <v>35</v>
      </c>
      <c r="H128" s="50">
        <v>3000</v>
      </c>
      <c r="I128" s="55">
        <v>600</v>
      </c>
      <c r="J128" s="49" t="s">
        <v>36</v>
      </c>
      <c r="K128" s="49" t="s">
        <v>37</v>
      </c>
    </row>
    <row r="129" spans="1:17" ht="15.75" customHeight="1">
      <c r="A129" s="49">
        <v>13</v>
      </c>
      <c r="B129" s="49" t="s">
        <v>1720</v>
      </c>
      <c r="C129" s="49" t="s">
        <v>227</v>
      </c>
      <c r="D129" s="49" t="s">
        <v>1721</v>
      </c>
      <c r="E129" s="49" t="s">
        <v>1722</v>
      </c>
      <c r="F129" s="49"/>
      <c r="G129" s="49" t="s">
        <v>35</v>
      </c>
      <c r="H129" s="50">
        <v>10000</v>
      </c>
      <c r="I129" s="55">
        <v>2000</v>
      </c>
      <c r="J129" s="49" t="s">
        <v>36</v>
      </c>
      <c r="K129" s="49" t="s">
        <v>37</v>
      </c>
      <c r="Q129" s="4"/>
    </row>
    <row r="130" spans="1:17" ht="15.75" customHeight="1">
      <c r="A130" s="49">
        <v>13</v>
      </c>
      <c r="B130" s="49" t="s">
        <v>1628</v>
      </c>
      <c r="C130" s="49" t="s">
        <v>227</v>
      </c>
      <c r="D130" s="49" t="s">
        <v>464</v>
      </c>
      <c r="E130" s="49" t="s">
        <v>1723</v>
      </c>
      <c r="F130" s="49"/>
      <c r="G130" s="49" t="s">
        <v>120</v>
      </c>
      <c r="H130" s="50">
        <v>50</v>
      </c>
      <c r="I130" s="55">
        <v>250</v>
      </c>
      <c r="J130" s="49" t="s">
        <v>36</v>
      </c>
      <c r="K130" s="49" t="s">
        <v>37</v>
      </c>
    </row>
    <row r="131" spans="1:17" ht="15.75" customHeight="1">
      <c r="A131" s="49">
        <v>13</v>
      </c>
      <c r="B131" s="49" t="s">
        <v>1724</v>
      </c>
      <c r="C131" s="49" t="s">
        <v>227</v>
      </c>
      <c r="D131" s="49" t="s">
        <v>907</v>
      </c>
      <c r="E131" s="49" t="s">
        <v>235</v>
      </c>
      <c r="F131" s="49"/>
      <c r="G131" s="49" t="s">
        <v>35</v>
      </c>
      <c r="H131" s="50">
        <v>1000</v>
      </c>
      <c r="I131" s="55">
        <v>200</v>
      </c>
      <c r="J131" s="49" t="s">
        <v>36</v>
      </c>
      <c r="K131" s="49" t="s">
        <v>37</v>
      </c>
    </row>
    <row r="132" spans="1:17" ht="15.75" customHeight="1">
      <c r="A132" s="49">
        <v>13</v>
      </c>
      <c r="B132" s="49" t="s">
        <v>1725</v>
      </c>
      <c r="C132" s="49" t="s">
        <v>227</v>
      </c>
      <c r="D132" s="49" t="s">
        <v>928</v>
      </c>
      <c r="E132" s="49" t="s">
        <v>48</v>
      </c>
      <c r="F132" s="49"/>
      <c r="G132" s="49" t="s">
        <v>35</v>
      </c>
      <c r="H132" s="50">
        <v>500</v>
      </c>
      <c r="I132" s="55">
        <v>100</v>
      </c>
      <c r="J132" s="49" t="s">
        <v>36</v>
      </c>
      <c r="K132" s="49" t="s">
        <v>37</v>
      </c>
    </row>
    <row r="133" spans="1:17" ht="15.75" customHeight="1">
      <c r="A133" s="49">
        <v>13</v>
      </c>
      <c r="B133" s="49" t="s">
        <v>1726</v>
      </c>
      <c r="C133" s="49" t="s">
        <v>227</v>
      </c>
      <c r="D133" s="49" t="s">
        <v>1727</v>
      </c>
      <c r="E133" s="49" t="s">
        <v>917</v>
      </c>
      <c r="F133" s="49"/>
      <c r="G133" s="49" t="s">
        <v>35</v>
      </c>
      <c r="H133" s="50">
        <v>10000</v>
      </c>
      <c r="I133" s="55">
        <v>2000</v>
      </c>
      <c r="J133" s="49" t="s">
        <v>36</v>
      </c>
      <c r="K133" s="49" t="s">
        <v>37</v>
      </c>
    </row>
    <row r="134" spans="1:17" ht="15.75" customHeight="1">
      <c r="A134" s="49">
        <v>13</v>
      </c>
      <c r="B134" s="49" t="s">
        <v>1728</v>
      </c>
      <c r="C134" s="49" t="s">
        <v>227</v>
      </c>
      <c r="D134" s="49" t="s">
        <v>1729</v>
      </c>
      <c r="E134" s="49" t="s">
        <v>164</v>
      </c>
      <c r="F134" s="49"/>
      <c r="G134" s="49" t="s">
        <v>35</v>
      </c>
      <c r="H134" s="50">
        <v>8000</v>
      </c>
      <c r="I134" s="55">
        <v>1600</v>
      </c>
      <c r="J134" s="49" t="s">
        <v>36</v>
      </c>
      <c r="K134" s="49" t="s">
        <v>37</v>
      </c>
      <c r="O134" s="4"/>
    </row>
    <row r="135" spans="1:17" ht="15.75" customHeight="1">
      <c r="A135" s="49">
        <v>13</v>
      </c>
      <c r="B135" s="49" t="s">
        <v>1730</v>
      </c>
      <c r="C135" s="49" t="s">
        <v>227</v>
      </c>
      <c r="D135" s="49" t="s">
        <v>988</v>
      </c>
      <c r="E135" s="49" t="s">
        <v>41</v>
      </c>
      <c r="F135" s="49"/>
      <c r="G135" s="49" t="s">
        <v>35</v>
      </c>
      <c r="H135" s="50">
        <v>1200</v>
      </c>
      <c r="I135" s="55">
        <v>240</v>
      </c>
      <c r="J135" s="49" t="s">
        <v>36</v>
      </c>
      <c r="K135" s="49" t="s">
        <v>37</v>
      </c>
    </row>
    <row r="136" spans="1:17" ht="15.75" customHeight="1">
      <c r="A136" s="49">
        <v>13</v>
      </c>
      <c r="B136" s="49" t="s">
        <v>1731</v>
      </c>
      <c r="C136" s="49" t="s">
        <v>246</v>
      </c>
      <c r="D136" s="49" t="s">
        <v>611</v>
      </c>
      <c r="E136" s="49" t="s">
        <v>48</v>
      </c>
      <c r="F136" s="49"/>
      <c r="G136" s="49" t="s">
        <v>35</v>
      </c>
      <c r="H136" s="50">
        <v>1000</v>
      </c>
      <c r="I136" s="55">
        <v>200</v>
      </c>
      <c r="J136" s="49" t="s">
        <v>36</v>
      </c>
      <c r="K136" s="49" t="s">
        <v>37</v>
      </c>
    </row>
    <row r="137" spans="1:17" ht="15.75" customHeight="1">
      <c r="A137" s="49">
        <v>13</v>
      </c>
      <c r="B137" s="49" t="s">
        <v>1732</v>
      </c>
      <c r="C137" s="49" t="s">
        <v>227</v>
      </c>
      <c r="D137" s="49" t="s">
        <v>616</v>
      </c>
      <c r="E137" s="49" t="s">
        <v>241</v>
      </c>
      <c r="F137" s="49"/>
      <c r="G137" s="49" t="s">
        <v>35</v>
      </c>
      <c r="H137" s="50">
        <v>4000</v>
      </c>
      <c r="I137" s="55">
        <v>800</v>
      </c>
      <c r="J137" s="49" t="s">
        <v>36</v>
      </c>
      <c r="K137" s="49" t="s">
        <v>37</v>
      </c>
    </row>
    <row r="138" spans="1:17" ht="15.75" customHeight="1">
      <c r="A138" s="49">
        <v>13</v>
      </c>
      <c r="B138" s="49" t="s">
        <v>1733</v>
      </c>
      <c r="C138" s="49" t="s">
        <v>227</v>
      </c>
      <c r="D138" s="49" t="s">
        <v>32</v>
      </c>
      <c r="E138" s="49" t="s">
        <v>507</v>
      </c>
      <c r="F138" s="49"/>
      <c r="G138" s="49" t="s">
        <v>35</v>
      </c>
      <c r="H138" s="50">
        <v>500</v>
      </c>
      <c r="I138" s="55"/>
      <c r="J138" s="49" t="s">
        <v>43</v>
      </c>
      <c r="K138" s="49" t="s">
        <v>37</v>
      </c>
    </row>
    <row r="139" spans="1:17" ht="15.75" customHeight="1">
      <c r="A139" s="49">
        <v>14</v>
      </c>
      <c r="B139" s="49" t="s">
        <v>1734</v>
      </c>
      <c r="C139" s="49" t="s">
        <v>227</v>
      </c>
      <c r="D139" s="49" t="s">
        <v>32</v>
      </c>
      <c r="E139" s="49" t="s">
        <v>193</v>
      </c>
      <c r="F139" s="49"/>
      <c r="G139" s="49" t="s">
        <v>35</v>
      </c>
      <c r="H139" s="50">
        <v>3000</v>
      </c>
      <c r="I139" s="55">
        <v>600</v>
      </c>
      <c r="J139" s="49" t="s">
        <v>36</v>
      </c>
      <c r="K139" s="49" t="s">
        <v>37</v>
      </c>
    </row>
    <row r="140" spans="1:17" ht="15.75" customHeight="1">
      <c r="A140" s="49">
        <v>14</v>
      </c>
      <c r="B140" s="49" t="s">
        <v>1735</v>
      </c>
      <c r="C140" s="49" t="s">
        <v>227</v>
      </c>
      <c r="D140" s="49" t="s">
        <v>295</v>
      </c>
      <c r="E140" s="49" t="s">
        <v>248</v>
      </c>
      <c r="F140" s="49"/>
      <c r="G140" s="49" t="s">
        <v>35</v>
      </c>
      <c r="H140" s="50">
        <v>1300</v>
      </c>
      <c r="I140" s="55">
        <v>260</v>
      </c>
      <c r="J140" s="49" t="s">
        <v>36</v>
      </c>
      <c r="K140" s="49" t="s">
        <v>37</v>
      </c>
    </row>
    <row r="141" spans="1:17" ht="15.75" customHeight="1">
      <c r="A141" s="49">
        <v>14</v>
      </c>
      <c r="B141" s="49" t="s">
        <v>477</v>
      </c>
      <c r="C141" s="49" t="s">
        <v>246</v>
      </c>
      <c r="D141" s="49" t="s">
        <v>288</v>
      </c>
      <c r="E141" s="49" t="s">
        <v>507</v>
      </c>
      <c r="F141" s="49"/>
      <c r="G141" s="49" t="s">
        <v>35</v>
      </c>
      <c r="H141" s="50">
        <v>15000</v>
      </c>
      <c r="I141" s="55">
        <v>3000</v>
      </c>
      <c r="J141" s="49" t="s">
        <v>36</v>
      </c>
      <c r="K141" s="49" t="s">
        <v>37</v>
      </c>
      <c r="O141" s="4"/>
    </row>
    <row r="142" spans="1:17" ht="15.75" customHeight="1">
      <c r="A142" s="49">
        <v>14</v>
      </c>
      <c r="B142" s="49" t="s">
        <v>1736</v>
      </c>
      <c r="C142" s="49" t="s">
        <v>227</v>
      </c>
      <c r="D142" s="49" t="s">
        <v>198</v>
      </c>
      <c r="E142" s="49" t="s">
        <v>199</v>
      </c>
      <c r="F142" s="49"/>
      <c r="G142" s="49" t="s">
        <v>35</v>
      </c>
      <c r="H142" s="50">
        <v>8000</v>
      </c>
      <c r="I142" s="55">
        <v>1600</v>
      </c>
      <c r="J142" s="49" t="s">
        <v>36</v>
      </c>
      <c r="K142" s="49" t="s">
        <v>37</v>
      </c>
      <c r="O142" s="4"/>
    </row>
    <row r="143" spans="1:17" ht="15.75" customHeight="1">
      <c r="A143" s="49">
        <v>14</v>
      </c>
      <c r="B143" s="49" t="s">
        <v>1737</v>
      </c>
      <c r="C143" s="49" t="s">
        <v>227</v>
      </c>
      <c r="D143" s="49" t="s">
        <v>323</v>
      </c>
      <c r="E143" s="49" t="s">
        <v>232</v>
      </c>
      <c r="F143" s="49"/>
      <c r="G143" s="49" t="s">
        <v>35</v>
      </c>
      <c r="H143" s="50">
        <v>1500</v>
      </c>
      <c r="I143" s="55">
        <v>300</v>
      </c>
      <c r="J143" s="49" t="s">
        <v>36</v>
      </c>
      <c r="K143" s="49" t="s">
        <v>37</v>
      </c>
    </row>
    <row r="144" spans="1:17" ht="15.75" customHeight="1">
      <c r="A144" s="49">
        <v>14</v>
      </c>
      <c r="B144" s="49" t="s">
        <v>1738</v>
      </c>
      <c r="C144" s="49" t="s">
        <v>227</v>
      </c>
      <c r="D144" s="49" t="s">
        <v>1739</v>
      </c>
      <c r="E144" s="49" t="s">
        <v>51</v>
      </c>
      <c r="F144" s="49"/>
      <c r="G144" s="49" t="s">
        <v>35</v>
      </c>
      <c r="H144" s="50">
        <v>500</v>
      </c>
      <c r="I144" s="55">
        <v>100</v>
      </c>
      <c r="J144" s="49" t="s">
        <v>36</v>
      </c>
      <c r="K144" s="49" t="s">
        <v>37</v>
      </c>
    </row>
    <row r="145" spans="1:15" ht="15.75" customHeight="1">
      <c r="A145" s="49">
        <v>14</v>
      </c>
      <c r="B145" s="49" t="s">
        <v>1740</v>
      </c>
      <c r="C145" s="49" t="s">
        <v>227</v>
      </c>
      <c r="D145" s="49" t="s">
        <v>873</v>
      </c>
      <c r="E145" s="49" t="s">
        <v>251</v>
      </c>
      <c r="F145" s="49"/>
      <c r="G145" s="49" t="s">
        <v>35</v>
      </c>
      <c r="H145" s="50">
        <v>100</v>
      </c>
      <c r="I145" s="55">
        <v>20</v>
      </c>
      <c r="J145" s="49" t="s">
        <v>36</v>
      </c>
      <c r="K145" s="49" t="s">
        <v>37</v>
      </c>
    </row>
    <row r="146" spans="1:15" ht="15.75" customHeight="1">
      <c r="A146" s="49">
        <v>14</v>
      </c>
      <c r="B146" s="49" t="s">
        <v>1740</v>
      </c>
      <c r="C146" s="49" t="s">
        <v>227</v>
      </c>
      <c r="D146" s="49" t="s">
        <v>873</v>
      </c>
      <c r="E146" s="49" t="s">
        <v>251</v>
      </c>
      <c r="F146" s="49"/>
      <c r="G146" s="49" t="s">
        <v>120</v>
      </c>
      <c r="H146" s="50">
        <v>20</v>
      </c>
      <c r="I146" s="55">
        <v>100</v>
      </c>
      <c r="J146" s="49" t="s">
        <v>36</v>
      </c>
      <c r="K146" s="49" t="s">
        <v>37</v>
      </c>
    </row>
    <row r="147" spans="1:15" ht="15.75" customHeight="1">
      <c r="A147" s="49">
        <v>14</v>
      </c>
      <c r="B147" s="49" t="s">
        <v>1741</v>
      </c>
      <c r="C147" s="49" t="s">
        <v>227</v>
      </c>
      <c r="D147" s="49" t="s">
        <v>1690</v>
      </c>
      <c r="E147" s="49" t="s">
        <v>51</v>
      </c>
      <c r="F147" s="49"/>
      <c r="G147" s="49" t="s">
        <v>35</v>
      </c>
      <c r="H147" s="50">
        <v>1000</v>
      </c>
      <c r="I147" s="55">
        <v>200</v>
      </c>
      <c r="J147" s="49" t="s">
        <v>36</v>
      </c>
      <c r="K147" s="49" t="s">
        <v>37</v>
      </c>
    </row>
    <row r="148" spans="1:15" ht="15.75" customHeight="1">
      <c r="A148" s="49">
        <v>14</v>
      </c>
      <c r="B148" s="49" t="s">
        <v>1742</v>
      </c>
      <c r="C148" s="49" t="s">
        <v>227</v>
      </c>
      <c r="D148" s="49" t="s">
        <v>247</v>
      </c>
      <c r="E148" s="49" t="s">
        <v>307</v>
      </c>
      <c r="F148" s="49"/>
      <c r="G148" s="49" t="s">
        <v>35</v>
      </c>
      <c r="H148" s="50">
        <v>1500</v>
      </c>
      <c r="I148" s="55">
        <v>300</v>
      </c>
      <c r="J148" s="49" t="s">
        <v>36</v>
      </c>
      <c r="K148" s="49" t="s">
        <v>37</v>
      </c>
    </row>
    <row r="149" spans="1:15" ht="15.75" customHeight="1">
      <c r="A149" s="49">
        <v>15</v>
      </c>
      <c r="B149" s="49" t="s">
        <v>1743</v>
      </c>
      <c r="C149" s="49" t="s">
        <v>227</v>
      </c>
      <c r="D149" s="49" t="s">
        <v>604</v>
      </c>
      <c r="E149" s="49" t="s">
        <v>321</v>
      </c>
      <c r="F149" s="49"/>
      <c r="G149" s="49" t="s">
        <v>35</v>
      </c>
      <c r="H149" s="50">
        <v>3000</v>
      </c>
      <c r="I149" s="55">
        <v>600</v>
      </c>
      <c r="J149" s="49" t="s">
        <v>36</v>
      </c>
      <c r="K149" s="49" t="s">
        <v>37</v>
      </c>
    </row>
    <row r="150" spans="1:15" ht="15.75" customHeight="1">
      <c r="A150" s="49">
        <v>15</v>
      </c>
      <c r="B150" s="49" t="s">
        <v>650</v>
      </c>
      <c r="C150" s="49" t="s">
        <v>227</v>
      </c>
      <c r="D150" s="49" t="s">
        <v>234</v>
      </c>
      <c r="E150" s="49" t="s">
        <v>235</v>
      </c>
      <c r="F150" s="49"/>
      <c r="G150" s="49" t="s">
        <v>35</v>
      </c>
      <c r="H150" s="50">
        <v>1500</v>
      </c>
      <c r="I150" s="55">
        <v>300</v>
      </c>
      <c r="J150" s="49" t="s">
        <v>36</v>
      </c>
      <c r="K150" s="49" t="s">
        <v>37</v>
      </c>
    </row>
    <row r="151" spans="1:15" ht="15.75" customHeight="1">
      <c r="A151" s="49">
        <v>15</v>
      </c>
      <c r="B151" s="49" t="s">
        <v>1744</v>
      </c>
      <c r="C151" s="49" t="s">
        <v>227</v>
      </c>
      <c r="D151" s="49" t="s">
        <v>733</v>
      </c>
      <c r="E151" s="49" t="s">
        <v>193</v>
      </c>
      <c r="F151" s="49"/>
      <c r="G151" s="49" t="s">
        <v>35</v>
      </c>
      <c r="H151" s="50">
        <v>16000</v>
      </c>
      <c r="I151" s="55">
        <v>3200</v>
      </c>
      <c r="J151" s="49" t="s">
        <v>36</v>
      </c>
      <c r="K151" s="49" t="s">
        <v>37</v>
      </c>
    </row>
    <row r="152" spans="1:15" ht="15.75" customHeight="1">
      <c r="A152" s="49">
        <v>15</v>
      </c>
      <c r="B152" s="49" t="s">
        <v>1745</v>
      </c>
      <c r="C152" s="49" t="s">
        <v>227</v>
      </c>
      <c r="D152" s="49" t="s">
        <v>164</v>
      </c>
      <c r="E152" s="49" t="s">
        <v>321</v>
      </c>
      <c r="F152" s="49"/>
      <c r="G152" s="49" t="s">
        <v>35</v>
      </c>
      <c r="H152" s="50">
        <v>1500</v>
      </c>
      <c r="I152" s="55">
        <v>300</v>
      </c>
      <c r="J152" s="49" t="s">
        <v>36</v>
      </c>
      <c r="K152" s="49" t="s">
        <v>37</v>
      </c>
    </row>
    <row r="153" spans="1:15" ht="15.75" customHeight="1">
      <c r="A153" s="49">
        <v>15</v>
      </c>
      <c r="B153" s="49" t="s">
        <v>1745</v>
      </c>
      <c r="C153" s="49" t="s">
        <v>227</v>
      </c>
      <c r="D153" s="49" t="s">
        <v>164</v>
      </c>
      <c r="E153" s="49" t="s">
        <v>321</v>
      </c>
      <c r="F153" s="49"/>
      <c r="G153" s="49" t="s">
        <v>35</v>
      </c>
      <c r="H153" s="50">
        <v>500</v>
      </c>
      <c r="I153" s="55"/>
      <c r="J153" s="49" t="s">
        <v>43</v>
      </c>
      <c r="K153" s="49" t="s">
        <v>37</v>
      </c>
    </row>
    <row r="154" spans="1:15" ht="15.75" customHeight="1">
      <c r="A154" s="49">
        <v>15</v>
      </c>
      <c r="B154" s="49" t="s">
        <v>1746</v>
      </c>
      <c r="C154" s="49" t="s">
        <v>227</v>
      </c>
      <c r="D154" s="49" t="s">
        <v>323</v>
      </c>
      <c r="E154" s="49" t="s">
        <v>232</v>
      </c>
      <c r="F154" s="49"/>
      <c r="G154" s="49" t="s">
        <v>35</v>
      </c>
      <c r="H154" s="50">
        <v>3000</v>
      </c>
      <c r="I154" s="55">
        <v>600</v>
      </c>
      <c r="J154" s="49" t="s">
        <v>36</v>
      </c>
      <c r="K154" s="49" t="s">
        <v>37</v>
      </c>
    </row>
    <row r="155" spans="1:15" ht="15.75" customHeight="1">
      <c r="A155" s="49">
        <v>15</v>
      </c>
      <c r="B155" s="49" t="s">
        <v>1747</v>
      </c>
      <c r="C155" s="49" t="s">
        <v>246</v>
      </c>
      <c r="D155" s="49" t="s">
        <v>295</v>
      </c>
      <c r="E155" s="49" t="s">
        <v>248</v>
      </c>
      <c r="F155" s="49"/>
      <c r="G155" s="49" t="s">
        <v>35</v>
      </c>
      <c r="H155" s="50">
        <v>7500</v>
      </c>
      <c r="I155" s="55">
        <v>1500</v>
      </c>
      <c r="J155" s="49" t="s">
        <v>36</v>
      </c>
      <c r="K155" s="49" t="s">
        <v>37</v>
      </c>
      <c r="O155" s="4"/>
    </row>
    <row r="156" spans="1:15" ht="15.75" customHeight="1">
      <c r="A156" s="49">
        <v>15</v>
      </c>
      <c r="B156" s="49" t="s">
        <v>1748</v>
      </c>
      <c r="C156" s="49" t="s">
        <v>227</v>
      </c>
      <c r="D156" s="49" t="s">
        <v>736</v>
      </c>
      <c r="E156" s="49" t="s">
        <v>248</v>
      </c>
      <c r="F156" s="49"/>
      <c r="G156" s="49" t="s">
        <v>35</v>
      </c>
      <c r="H156" s="50">
        <v>400</v>
      </c>
      <c r="I156" s="55">
        <v>80</v>
      </c>
      <c r="J156" s="49" t="s">
        <v>36</v>
      </c>
      <c r="K156" s="49" t="s">
        <v>37</v>
      </c>
    </row>
    <row r="157" spans="1:15" ht="15.75" customHeight="1">
      <c r="A157" s="49">
        <v>15</v>
      </c>
      <c r="B157" s="49" t="s">
        <v>1749</v>
      </c>
      <c r="C157" s="49" t="s">
        <v>246</v>
      </c>
      <c r="D157" s="49" t="s">
        <v>550</v>
      </c>
      <c r="E157" s="49" t="s">
        <v>193</v>
      </c>
      <c r="F157" s="49"/>
      <c r="G157" s="49" t="s">
        <v>35</v>
      </c>
      <c r="H157" s="50">
        <v>4000</v>
      </c>
      <c r="I157" s="55">
        <v>800</v>
      </c>
      <c r="J157" s="49" t="s">
        <v>36</v>
      </c>
      <c r="K157" s="49" t="s">
        <v>37</v>
      </c>
    </row>
    <row r="158" spans="1:15" ht="15.75" customHeight="1">
      <c r="A158" s="49">
        <v>15</v>
      </c>
      <c r="B158" s="49" t="s">
        <v>1750</v>
      </c>
      <c r="C158" s="49" t="s">
        <v>227</v>
      </c>
      <c r="D158" s="49"/>
      <c r="E158" s="49" t="s">
        <v>84</v>
      </c>
      <c r="F158" s="49"/>
      <c r="G158" s="49" t="s">
        <v>35</v>
      </c>
      <c r="H158" s="50">
        <v>12000</v>
      </c>
      <c r="I158" s="55"/>
      <c r="J158" s="49" t="s">
        <v>43</v>
      </c>
      <c r="K158" s="49" t="s">
        <v>37</v>
      </c>
    </row>
    <row r="159" spans="1:15" ht="15.75" customHeight="1">
      <c r="A159" s="49">
        <v>15</v>
      </c>
      <c r="B159" s="49" t="s">
        <v>461</v>
      </c>
      <c r="C159" s="49" t="s">
        <v>227</v>
      </c>
      <c r="D159" s="49" t="s">
        <v>1751</v>
      </c>
      <c r="E159" s="49" t="s">
        <v>462</v>
      </c>
      <c r="F159" s="49"/>
      <c r="G159" s="49" t="s">
        <v>35</v>
      </c>
      <c r="H159" s="50">
        <v>10000</v>
      </c>
      <c r="I159" s="55">
        <v>2000</v>
      </c>
      <c r="J159" s="49" t="s">
        <v>36</v>
      </c>
      <c r="K159" s="49" t="s">
        <v>37</v>
      </c>
      <c r="O159" s="4"/>
    </row>
    <row r="160" spans="1:15" ht="15.75" customHeight="1">
      <c r="A160" s="49">
        <v>15</v>
      </c>
      <c r="B160" s="49" t="s">
        <v>1752</v>
      </c>
      <c r="C160" s="49" t="s">
        <v>246</v>
      </c>
      <c r="D160" s="49" t="s">
        <v>1097</v>
      </c>
      <c r="E160" s="49" t="s">
        <v>51</v>
      </c>
      <c r="F160" s="49"/>
      <c r="G160" s="49" t="s">
        <v>35</v>
      </c>
      <c r="H160" s="50">
        <v>400</v>
      </c>
      <c r="I160" s="55">
        <v>160</v>
      </c>
      <c r="J160" s="49" t="s">
        <v>36</v>
      </c>
      <c r="K160" s="49" t="s">
        <v>37</v>
      </c>
    </row>
    <row r="161" spans="1:15" ht="15.75" customHeight="1">
      <c r="A161" s="49">
        <v>15</v>
      </c>
      <c r="B161" s="49" t="s">
        <v>1753</v>
      </c>
      <c r="C161" s="49" t="s">
        <v>227</v>
      </c>
      <c r="D161" s="49" t="s">
        <v>323</v>
      </c>
      <c r="E161" s="49" t="s">
        <v>232</v>
      </c>
      <c r="F161" s="49"/>
      <c r="G161" s="49" t="s">
        <v>35</v>
      </c>
      <c r="H161" s="50">
        <v>500</v>
      </c>
      <c r="I161" s="55">
        <v>100</v>
      </c>
      <c r="J161" s="49" t="s">
        <v>36</v>
      </c>
      <c r="K161" s="49" t="s">
        <v>37</v>
      </c>
    </row>
    <row r="162" spans="1:15" ht="15.75" customHeight="1">
      <c r="A162" s="49">
        <v>15</v>
      </c>
      <c r="B162" s="49" t="s">
        <v>1754</v>
      </c>
      <c r="C162" s="49" t="s">
        <v>227</v>
      </c>
      <c r="D162" s="49" t="s">
        <v>40</v>
      </c>
      <c r="E162" s="49" t="s">
        <v>232</v>
      </c>
      <c r="F162" s="49"/>
      <c r="G162" s="49" t="s">
        <v>35</v>
      </c>
      <c r="H162" s="50">
        <v>2000</v>
      </c>
      <c r="I162" s="55">
        <v>800</v>
      </c>
      <c r="J162" s="49" t="s">
        <v>36</v>
      </c>
      <c r="K162" s="49" t="s">
        <v>37</v>
      </c>
    </row>
    <row r="163" spans="1:15" ht="15.75" customHeight="1">
      <c r="A163" s="49">
        <v>16</v>
      </c>
      <c r="B163" s="49" t="s">
        <v>1755</v>
      </c>
      <c r="C163" s="49" t="s">
        <v>227</v>
      </c>
      <c r="D163" s="49" t="s">
        <v>258</v>
      </c>
      <c r="E163" s="49" t="s">
        <v>251</v>
      </c>
      <c r="F163" s="49"/>
      <c r="G163" s="49" t="s">
        <v>35</v>
      </c>
      <c r="H163" s="50">
        <v>200</v>
      </c>
      <c r="I163" s="55">
        <v>40</v>
      </c>
      <c r="J163" s="49" t="s">
        <v>36</v>
      </c>
      <c r="K163" s="49" t="s">
        <v>37</v>
      </c>
    </row>
    <row r="164" spans="1:15" ht="15.75" customHeight="1">
      <c r="A164" s="49">
        <v>16</v>
      </c>
      <c r="B164" s="49" t="s">
        <v>1756</v>
      </c>
      <c r="C164" s="49" t="s">
        <v>227</v>
      </c>
      <c r="D164" s="49" t="s">
        <v>548</v>
      </c>
      <c r="E164" s="49" t="s">
        <v>232</v>
      </c>
      <c r="F164" s="49"/>
      <c r="G164" s="49" t="s">
        <v>35</v>
      </c>
      <c r="H164" s="50">
        <v>2500</v>
      </c>
      <c r="I164" s="55">
        <v>500</v>
      </c>
      <c r="J164" s="49" t="s">
        <v>36</v>
      </c>
      <c r="K164" s="49" t="s">
        <v>37</v>
      </c>
    </row>
    <row r="165" spans="1:15" ht="15.75" customHeight="1">
      <c r="A165" s="49">
        <v>16</v>
      </c>
      <c r="B165" s="49" t="s">
        <v>1756</v>
      </c>
      <c r="C165" s="49" t="s">
        <v>227</v>
      </c>
      <c r="D165" s="49" t="s">
        <v>548</v>
      </c>
      <c r="E165" s="49" t="s">
        <v>232</v>
      </c>
      <c r="F165" s="49"/>
      <c r="G165" s="49" t="s">
        <v>35</v>
      </c>
      <c r="H165" s="50">
        <v>500</v>
      </c>
      <c r="I165" s="55"/>
      <c r="J165" s="49" t="s">
        <v>43</v>
      </c>
      <c r="K165" s="49" t="s">
        <v>37</v>
      </c>
    </row>
    <row r="166" spans="1:15" ht="15.75" customHeight="1">
      <c r="A166" s="49">
        <v>16</v>
      </c>
      <c r="B166" s="49" t="s">
        <v>1704</v>
      </c>
      <c r="C166" s="49" t="s">
        <v>227</v>
      </c>
      <c r="D166" s="49" t="s">
        <v>740</v>
      </c>
      <c r="E166" s="49" t="s">
        <v>199</v>
      </c>
      <c r="F166" s="49"/>
      <c r="G166" s="49" t="s">
        <v>35</v>
      </c>
      <c r="H166" s="50">
        <v>3000</v>
      </c>
      <c r="I166" s="55">
        <v>600</v>
      </c>
      <c r="J166" s="49" t="s">
        <v>36</v>
      </c>
      <c r="K166" s="49" t="s">
        <v>37</v>
      </c>
    </row>
    <row r="167" spans="1:15" ht="15.75" customHeight="1">
      <c r="A167" s="49">
        <v>16</v>
      </c>
      <c r="B167" s="49" t="s">
        <v>1704</v>
      </c>
      <c r="C167" s="49" t="s">
        <v>227</v>
      </c>
      <c r="D167" s="49" t="s">
        <v>740</v>
      </c>
      <c r="E167" s="49" t="s">
        <v>199</v>
      </c>
      <c r="F167" s="49"/>
      <c r="G167" s="49" t="s">
        <v>120</v>
      </c>
      <c r="H167" s="50">
        <v>30</v>
      </c>
      <c r="I167" s="55">
        <v>150</v>
      </c>
      <c r="J167" s="49" t="s">
        <v>36</v>
      </c>
      <c r="K167" s="49" t="s">
        <v>37</v>
      </c>
    </row>
    <row r="168" spans="1:15" ht="15.75" customHeight="1">
      <c r="A168" s="49">
        <v>16</v>
      </c>
      <c r="B168" s="49" t="s">
        <v>1704</v>
      </c>
      <c r="C168" s="49" t="s">
        <v>227</v>
      </c>
      <c r="D168" s="49" t="s">
        <v>740</v>
      </c>
      <c r="E168" s="49" t="s">
        <v>199</v>
      </c>
      <c r="F168" s="49"/>
      <c r="G168" s="49" t="s">
        <v>242</v>
      </c>
      <c r="H168" s="50">
        <v>30</v>
      </c>
      <c r="I168" s="55">
        <v>90</v>
      </c>
      <c r="J168" s="49" t="s">
        <v>36</v>
      </c>
      <c r="K168" s="49" t="s">
        <v>37</v>
      </c>
    </row>
    <row r="169" spans="1:15" ht="15.75" customHeight="1">
      <c r="A169" s="49">
        <v>16</v>
      </c>
      <c r="B169" s="49" t="s">
        <v>1757</v>
      </c>
      <c r="C169" s="49" t="s">
        <v>227</v>
      </c>
      <c r="D169" s="49" t="s">
        <v>32</v>
      </c>
      <c r="E169" s="49" t="s">
        <v>164</v>
      </c>
      <c r="F169" s="49"/>
      <c r="G169" s="49" t="s">
        <v>35</v>
      </c>
      <c r="H169" s="50">
        <v>5000</v>
      </c>
      <c r="I169" s="55">
        <v>1000</v>
      </c>
      <c r="J169" s="49" t="s">
        <v>36</v>
      </c>
      <c r="K169" s="49" t="s">
        <v>37</v>
      </c>
    </row>
    <row r="170" spans="1:15" ht="15.75" customHeight="1">
      <c r="A170" s="49">
        <v>16</v>
      </c>
      <c r="B170" s="49" t="s">
        <v>1758</v>
      </c>
      <c r="C170" s="49" t="s">
        <v>227</v>
      </c>
      <c r="D170" s="49" t="s">
        <v>1759</v>
      </c>
      <c r="E170" s="49" t="s">
        <v>41</v>
      </c>
      <c r="F170" s="49"/>
      <c r="G170" s="49" t="s">
        <v>35</v>
      </c>
      <c r="H170" s="50">
        <v>1000</v>
      </c>
      <c r="I170" s="55">
        <v>200</v>
      </c>
      <c r="J170" s="49" t="s">
        <v>36</v>
      </c>
      <c r="K170" s="49" t="s">
        <v>37</v>
      </c>
    </row>
    <row r="171" spans="1:15" ht="15.75" customHeight="1">
      <c r="A171" s="49">
        <v>16</v>
      </c>
      <c r="B171" s="49" t="s">
        <v>1576</v>
      </c>
      <c r="C171" s="49" t="s">
        <v>227</v>
      </c>
      <c r="D171" s="49" t="s">
        <v>1577</v>
      </c>
      <c r="E171" s="49" t="s">
        <v>184</v>
      </c>
      <c r="F171" s="49"/>
      <c r="G171" s="49" t="s">
        <v>35</v>
      </c>
      <c r="H171" s="50">
        <v>1000</v>
      </c>
      <c r="I171" s="55">
        <v>200</v>
      </c>
      <c r="J171" s="49" t="s">
        <v>36</v>
      </c>
      <c r="K171" s="49" t="s">
        <v>37</v>
      </c>
    </row>
    <row r="172" spans="1:15" ht="15.75" customHeight="1">
      <c r="A172" s="49">
        <v>16</v>
      </c>
      <c r="B172" s="49" t="s">
        <v>1760</v>
      </c>
      <c r="C172" s="49" t="s">
        <v>227</v>
      </c>
      <c r="D172" s="49" t="s">
        <v>247</v>
      </c>
      <c r="E172" s="49" t="s">
        <v>248</v>
      </c>
      <c r="F172" s="49"/>
      <c r="G172" s="49" t="s">
        <v>35</v>
      </c>
      <c r="H172" s="50">
        <v>500</v>
      </c>
      <c r="I172" s="55">
        <v>100</v>
      </c>
      <c r="J172" s="49" t="s">
        <v>36</v>
      </c>
      <c r="K172" s="49" t="s">
        <v>37</v>
      </c>
    </row>
    <row r="173" spans="1:15" ht="15.75" customHeight="1">
      <c r="A173" s="49">
        <v>16</v>
      </c>
      <c r="B173" s="49" t="s">
        <v>1761</v>
      </c>
      <c r="C173" s="49" t="s">
        <v>227</v>
      </c>
      <c r="D173" s="49" t="s">
        <v>32</v>
      </c>
      <c r="E173" s="49" t="s">
        <v>232</v>
      </c>
      <c r="F173" s="49"/>
      <c r="G173" s="49" t="s">
        <v>35</v>
      </c>
      <c r="H173" s="50">
        <v>1500</v>
      </c>
      <c r="I173" s="55">
        <v>300</v>
      </c>
      <c r="J173" s="49" t="s">
        <v>36</v>
      </c>
      <c r="K173" s="49" t="s">
        <v>37</v>
      </c>
    </row>
    <row r="174" spans="1:15" ht="15.75" customHeight="1">
      <c r="A174" s="49">
        <v>17</v>
      </c>
      <c r="B174" s="49" t="s">
        <v>1762</v>
      </c>
      <c r="C174" s="49" t="s">
        <v>227</v>
      </c>
      <c r="D174" s="49" t="s">
        <v>1763</v>
      </c>
      <c r="E174" s="49" t="s">
        <v>164</v>
      </c>
      <c r="F174" s="49"/>
      <c r="G174" s="49" t="s">
        <v>35</v>
      </c>
      <c r="H174" s="50">
        <v>1500</v>
      </c>
      <c r="I174" s="55">
        <v>600</v>
      </c>
      <c r="J174" s="49" t="s">
        <v>36</v>
      </c>
      <c r="K174" s="49" t="s">
        <v>37</v>
      </c>
      <c r="O174" s="4"/>
    </row>
    <row r="175" spans="1:15" ht="15.75" customHeight="1">
      <c r="A175" s="49">
        <v>17</v>
      </c>
      <c r="B175" s="49" t="s">
        <v>1762</v>
      </c>
      <c r="C175" s="49" t="s">
        <v>227</v>
      </c>
      <c r="D175" s="49" t="s">
        <v>1764</v>
      </c>
      <c r="E175" s="49" t="s">
        <v>164</v>
      </c>
      <c r="F175" s="49"/>
      <c r="G175" s="49" t="s">
        <v>35</v>
      </c>
      <c r="H175" s="50">
        <v>3000</v>
      </c>
      <c r="I175" s="55">
        <v>600</v>
      </c>
      <c r="J175" s="49" t="s">
        <v>36</v>
      </c>
      <c r="K175" s="49" t="s">
        <v>37</v>
      </c>
    </row>
    <row r="176" spans="1:15" ht="15.75" customHeight="1">
      <c r="A176" s="49">
        <v>17</v>
      </c>
      <c r="B176" s="49" t="s">
        <v>1765</v>
      </c>
      <c r="C176" s="49" t="s">
        <v>227</v>
      </c>
      <c r="D176" s="49" t="s">
        <v>33</v>
      </c>
      <c r="E176" s="49" t="s">
        <v>507</v>
      </c>
      <c r="F176" s="49"/>
      <c r="G176" s="49" t="s">
        <v>35</v>
      </c>
      <c r="H176" s="50">
        <v>2500</v>
      </c>
      <c r="I176" s="55">
        <v>500</v>
      </c>
      <c r="J176" s="49" t="s">
        <v>36</v>
      </c>
      <c r="K176" s="49" t="s">
        <v>37</v>
      </c>
    </row>
    <row r="177" spans="1:11" ht="15.75" customHeight="1">
      <c r="A177" s="49">
        <v>17</v>
      </c>
      <c r="B177" s="49" t="s">
        <v>1766</v>
      </c>
      <c r="C177" s="49" t="s">
        <v>227</v>
      </c>
      <c r="D177" s="49" t="s">
        <v>1190</v>
      </c>
      <c r="E177" s="49" t="s">
        <v>241</v>
      </c>
      <c r="F177" s="49"/>
      <c r="G177" s="49" t="s">
        <v>35</v>
      </c>
      <c r="H177" s="50">
        <v>2000</v>
      </c>
      <c r="I177" s="55">
        <v>400</v>
      </c>
      <c r="J177" s="49" t="s">
        <v>36</v>
      </c>
      <c r="K177" s="49" t="s">
        <v>37</v>
      </c>
    </row>
    <row r="178" spans="1:11" ht="15.75" customHeight="1">
      <c r="A178" s="49">
        <v>17</v>
      </c>
      <c r="B178" s="49" t="s">
        <v>1766</v>
      </c>
      <c r="C178" s="49" t="s">
        <v>227</v>
      </c>
      <c r="D178" s="49" t="s">
        <v>1190</v>
      </c>
      <c r="E178" s="49" t="s">
        <v>241</v>
      </c>
      <c r="F178" s="49"/>
      <c r="G178" s="49" t="s">
        <v>35</v>
      </c>
      <c r="H178" s="50">
        <v>2000</v>
      </c>
      <c r="I178" s="55"/>
      <c r="J178" s="49" t="s">
        <v>43</v>
      </c>
      <c r="K178" s="49" t="s">
        <v>37</v>
      </c>
    </row>
    <row r="179" spans="1:11" ht="15.75" customHeight="1">
      <c r="A179" s="49">
        <v>17</v>
      </c>
      <c r="B179" s="49" t="s">
        <v>1767</v>
      </c>
      <c r="C179" s="49" t="s">
        <v>227</v>
      </c>
      <c r="D179" s="49" t="s">
        <v>840</v>
      </c>
      <c r="E179" s="49" t="s">
        <v>41</v>
      </c>
      <c r="F179" s="49"/>
      <c r="G179" s="49" t="s">
        <v>273</v>
      </c>
      <c r="H179" s="50">
        <v>5</v>
      </c>
      <c r="I179" s="55">
        <v>15</v>
      </c>
      <c r="J179" s="49" t="s">
        <v>36</v>
      </c>
      <c r="K179" s="49" t="s">
        <v>37</v>
      </c>
    </row>
    <row r="180" spans="1:11" ht="15.75" customHeight="1">
      <c r="A180" s="49">
        <v>17</v>
      </c>
      <c r="B180" s="49" t="s">
        <v>1767</v>
      </c>
      <c r="C180" s="49" t="s">
        <v>227</v>
      </c>
      <c r="D180" s="49" t="s">
        <v>840</v>
      </c>
      <c r="E180" s="49" t="s">
        <v>41</v>
      </c>
      <c r="F180" s="49"/>
      <c r="G180" s="49" t="s">
        <v>242</v>
      </c>
      <c r="H180" s="50">
        <v>5</v>
      </c>
      <c r="I180" s="55">
        <v>15</v>
      </c>
      <c r="J180" s="49" t="s">
        <v>36</v>
      </c>
      <c r="K180" s="49" t="s">
        <v>37</v>
      </c>
    </row>
    <row r="181" spans="1:11" ht="15.75" customHeight="1">
      <c r="A181" s="49">
        <v>17</v>
      </c>
      <c r="B181" s="49" t="s">
        <v>1767</v>
      </c>
      <c r="C181" s="49" t="s">
        <v>227</v>
      </c>
      <c r="D181" s="49" t="s">
        <v>840</v>
      </c>
      <c r="E181" s="49" t="s">
        <v>41</v>
      </c>
      <c r="F181" s="49"/>
      <c r="G181" s="49" t="s">
        <v>120</v>
      </c>
      <c r="H181" s="50">
        <v>17</v>
      </c>
      <c r="I181" s="55">
        <v>170</v>
      </c>
      <c r="J181" s="49" t="s">
        <v>36</v>
      </c>
      <c r="K181" s="49" t="s">
        <v>37</v>
      </c>
    </row>
    <row r="182" spans="1:11" ht="15.75" customHeight="1">
      <c r="A182" s="49">
        <v>17</v>
      </c>
      <c r="B182" s="49" t="s">
        <v>1768</v>
      </c>
      <c r="C182" s="49" t="s">
        <v>227</v>
      </c>
      <c r="D182" s="49" t="s">
        <v>736</v>
      </c>
      <c r="E182" s="49" t="s">
        <v>248</v>
      </c>
      <c r="F182" s="49"/>
      <c r="G182" s="49" t="s">
        <v>35</v>
      </c>
      <c r="H182" s="50">
        <v>2100</v>
      </c>
      <c r="I182" s="55">
        <v>420</v>
      </c>
      <c r="J182" s="49" t="s">
        <v>36</v>
      </c>
      <c r="K182" s="49" t="s">
        <v>37</v>
      </c>
    </row>
    <row r="183" spans="1:11" ht="15.75" customHeight="1">
      <c r="A183" s="49">
        <v>17</v>
      </c>
      <c r="B183" s="49" t="s">
        <v>1769</v>
      </c>
      <c r="C183" s="49" t="s">
        <v>227</v>
      </c>
      <c r="D183" s="49" t="s">
        <v>548</v>
      </c>
      <c r="E183" s="49" t="s">
        <v>48</v>
      </c>
      <c r="F183" s="49"/>
      <c r="G183" s="49" t="s">
        <v>35</v>
      </c>
      <c r="H183" s="50">
        <v>3000</v>
      </c>
      <c r="I183" s="55">
        <v>600</v>
      </c>
      <c r="J183" s="49" t="s">
        <v>36</v>
      </c>
      <c r="K183" s="49" t="s">
        <v>37</v>
      </c>
    </row>
    <row r="184" spans="1:11" ht="15.75" customHeight="1">
      <c r="A184" s="49">
        <v>17</v>
      </c>
      <c r="B184" s="49" t="s">
        <v>1770</v>
      </c>
      <c r="C184" s="49" t="s">
        <v>227</v>
      </c>
      <c r="D184" s="49" t="s">
        <v>1771</v>
      </c>
      <c r="E184" s="49" t="s">
        <v>164</v>
      </c>
      <c r="F184" s="49"/>
      <c r="G184" s="49" t="s">
        <v>35</v>
      </c>
      <c r="H184" s="50">
        <v>1500</v>
      </c>
      <c r="I184" s="55">
        <v>300</v>
      </c>
      <c r="J184" s="49" t="s">
        <v>36</v>
      </c>
      <c r="K184" s="49" t="s">
        <v>37</v>
      </c>
    </row>
    <row r="185" spans="1:11" ht="15.75" customHeight="1">
      <c r="A185" s="49">
        <v>17</v>
      </c>
      <c r="B185" s="49" t="s">
        <v>1772</v>
      </c>
      <c r="C185" s="49" t="s">
        <v>227</v>
      </c>
      <c r="D185" s="49" t="s">
        <v>1109</v>
      </c>
      <c r="E185" s="49" t="s">
        <v>251</v>
      </c>
      <c r="F185" s="49"/>
      <c r="G185" s="49" t="s">
        <v>120</v>
      </c>
      <c r="H185" s="50">
        <v>100</v>
      </c>
      <c r="I185" s="55">
        <v>1000</v>
      </c>
      <c r="J185" s="49" t="s">
        <v>36</v>
      </c>
      <c r="K185" s="49" t="s">
        <v>37</v>
      </c>
    </row>
    <row r="186" spans="1:11" ht="15.75" customHeight="1">
      <c r="A186" s="49">
        <v>17</v>
      </c>
      <c r="B186" s="49" t="s">
        <v>1773</v>
      </c>
      <c r="C186" s="49" t="s">
        <v>227</v>
      </c>
      <c r="D186" s="49" t="s">
        <v>32</v>
      </c>
      <c r="E186" s="49" t="s">
        <v>307</v>
      </c>
      <c r="F186" s="49"/>
      <c r="G186" s="49" t="s">
        <v>35</v>
      </c>
      <c r="H186" s="50">
        <v>450</v>
      </c>
      <c r="I186" s="55">
        <v>135</v>
      </c>
      <c r="J186" s="49" t="s">
        <v>36</v>
      </c>
      <c r="K186" s="49" t="s">
        <v>37</v>
      </c>
    </row>
    <row r="187" spans="1:11" ht="15.75" customHeight="1">
      <c r="A187" s="49">
        <v>17</v>
      </c>
      <c r="B187" s="49" t="s">
        <v>1774</v>
      </c>
      <c r="C187" s="49" t="s">
        <v>246</v>
      </c>
      <c r="D187" s="49" t="s">
        <v>1775</v>
      </c>
      <c r="E187" s="49" t="s">
        <v>156</v>
      </c>
      <c r="F187" s="49"/>
      <c r="G187" s="49" t="s">
        <v>35</v>
      </c>
      <c r="H187" s="50">
        <v>40</v>
      </c>
      <c r="I187" s="55">
        <v>20</v>
      </c>
      <c r="J187" s="49" t="s">
        <v>36</v>
      </c>
      <c r="K187" s="49" t="s">
        <v>37</v>
      </c>
    </row>
    <row r="188" spans="1:11" ht="15.75" customHeight="1">
      <c r="A188" s="49">
        <v>17</v>
      </c>
      <c r="B188" s="49" t="s">
        <v>1776</v>
      </c>
      <c r="C188" s="49" t="s">
        <v>227</v>
      </c>
      <c r="D188" s="49" t="s">
        <v>515</v>
      </c>
      <c r="E188" s="49" t="s">
        <v>164</v>
      </c>
      <c r="F188" s="49"/>
      <c r="G188" s="49" t="s">
        <v>35</v>
      </c>
      <c r="H188" s="50">
        <v>3000</v>
      </c>
      <c r="I188" s="55">
        <v>900</v>
      </c>
      <c r="J188" s="49" t="s">
        <v>36</v>
      </c>
      <c r="K188" s="49" t="s">
        <v>37</v>
      </c>
    </row>
    <row r="189" spans="1:11" ht="15.75" customHeight="1">
      <c r="A189" s="49">
        <v>17</v>
      </c>
      <c r="B189" s="49" t="s">
        <v>975</v>
      </c>
      <c r="C189" s="49" t="s">
        <v>227</v>
      </c>
      <c r="D189" s="49" t="s">
        <v>900</v>
      </c>
      <c r="E189" s="49" t="s">
        <v>251</v>
      </c>
      <c r="F189" s="49"/>
      <c r="G189" s="49" t="s">
        <v>120</v>
      </c>
      <c r="H189" s="50">
        <v>20</v>
      </c>
      <c r="I189" s="55">
        <v>200</v>
      </c>
      <c r="J189" s="49" t="s">
        <v>36</v>
      </c>
      <c r="K189" s="49" t="s">
        <v>37</v>
      </c>
    </row>
    <row r="190" spans="1:11" ht="15.75" customHeight="1">
      <c r="A190" s="49">
        <v>17</v>
      </c>
      <c r="B190" s="49" t="s">
        <v>1777</v>
      </c>
      <c r="C190" s="49" t="s">
        <v>246</v>
      </c>
      <c r="D190" s="49" t="s">
        <v>295</v>
      </c>
      <c r="E190" s="49" t="s">
        <v>248</v>
      </c>
      <c r="F190" s="49"/>
      <c r="G190" s="49" t="s">
        <v>35</v>
      </c>
      <c r="H190" s="50">
        <v>800</v>
      </c>
      <c r="I190" s="55">
        <v>160</v>
      </c>
      <c r="J190" s="49" t="s">
        <v>36</v>
      </c>
      <c r="K190" s="49" t="s">
        <v>37</v>
      </c>
    </row>
    <row r="191" spans="1:11" ht="15.75" customHeight="1">
      <c r="A191" s="49">
        <v>17</v>
      </c>
      <c r="B191" s="49" t="s">
        <v>1703</v>
      </c>
      <c r="C191" s="49" t="s">
        <v>246</v>
      </c>
      <c r="D191" s="49" t="s">
        <v>1112</v>
      </c>
      <c r="E191" s="49" t="s">
        <v>199</v>
      </c>
      <c r="F191" s="49"/>
      <c r="G191" s="49" t="s">
        <v>120</v>
      </c>
      <c r="H191" s="50">
        <v>100</v>
      </c>
      <c r="I191" s="55">
        <v>1000</v>
      </c>
      <c r="J191" s="49" t="s">
        <v>36</v>
      </c>
      <c r="K191" s="49" t="s">
        <v>37</v>
      </c>
    </row>
    <row r="192" spans="1:11" ht="15.75" customHeight="1">
      <c r="A192" s="49">
        <v>17</v>
      </c>
      <c r="B192" s="49" t="s">
        <v>1018</v>
      </c>
      <c r="C192" s="49" t="s">
        <v>227</v>
      </c>
      <c r="D192" s="49" t="s">
        <v>239</v>
      </c>
      <c r="E192" s="49" t="s">
        <v>232</v>
      </c>
      <c r="F192" s="49"/>
      <c r="G192" s="49" t="s">
        <v>120</v>
      </c>
      <c r="H192" s="50">
        <v>10</v>
      </c>
      <c r="I192" s="55">
        <v>100</v>
      </c>
      <c r="J192" s="49" t="s">
        <v>36</v>
      </c>
      <c r="K192" s="49" t="s">
        <v>37</v>
      </c>
    </row>
    <row r="193" spans="1:15" ht="15.75" customHeight="1">
      <c r="A193" s="49">
        <v>17</v>
      </c>
      <c r="B193" s="49" t="s">
        <v>1778</v>
      </c>
      <c r="C193" s="49" t="s">
        <v>227</v>
      </c>
      <c r="D193" s="49" t="s">
        <v>1779</v>
      </c>
      <c r="E193" s="49" t="s">
        <v>164</v>
      </c>
      <c r="F193" s="49"/>
      <c r="G193" s="49" t="s">
        <v>120</v>
      </c>
      <c r="H193" s="50">
        <v>50</v>
      </c>
      <c r="I193" s="55">
        <v>250</v>
      </c>
      <c r="J193" s="49" t="s">
        <v>36</v>
      </c>
      <c r="K193" s="49" t="s">
        <v>37</v>
      </c>
    </row>
    <row r="194" spans="1:15" ht="15.75" customHeight="1">
      <c r="A194" s="49">
        <v>18</v>
      </c>
      <c r="B194" s="49" t="s">
        <v>1780</v>
      </c>
      <c r="C194" s="49" t="s">
        <v>227</v>
      </c>
      <c r="D194" s="49" t="s">
        <v>304</v>
      </c>
      <c r="E194" s="49" t="s">
        <v>241</v>
      </c>
      <c r="F194" s="49"/>
      <c r="G194" s="49" t="s">
        <v>35</v>
      </c>
      <c r="H194" s="50">
        <v>2500</v>
      </c>
      <c r="I194" s="55">
        <v>1000</v>
      </c>
      <c r="J194" s="49" t="s">
        <v>36</v>
      </c>
      <c r="K194" s="49" t="s">
        <v>37</v>
      </c>
    </row>
    <row r="195" spans="1:15" ht="15.75" customHeight="1">
      <c r="A195" s="49">
        <v>18</v>
      </c>
      <c r="B195" s="49" t="s">
        <v>1780</v>
      </c>
      <c r="C195" s="49" t="s">
        <v>227</v>
      </c>
      <c r="D195" s="49" t="s">
        <v>304</v>
      </c>
      <c r="E195" s="49" t="s">
        <v>241</v>
      </c>
      <c r="F195" s="49"/>
      <c r="G195" s="49" t="s">
        <v>35</v>
      </c>
      <c r="H195" s="50">
        <v>500</v>
      </c>
      <c r="I195" s="55"/>
      <c r="J195" s="49" t="s">
        <v>43</v>
      </c>
      <c r="K195" s="49" t="s">
        <v>37</v>
      </c>
    </row>
    <row r="196" spans="1:15" ht="15.75" customHeight="1">
      <c r="A196" s="49">
        <v>18</v>
      </c>
      <c r="B196" s="49" t="s">
        <v>1780</v>
      </c>
      <c r="C196" s="49" t="s">
        <v>227</v>
      </c>
      <c r="D196" s="49" t="s">
        <v>304</v>
      </c>
      <c r="E196" s="49" t="s">
        <v>241</v>
      </c>
      <c r="F196" s="49"/>
      <c r="G196" s="49" t="s">
        <v>120</v>
      </c>
      <c r="H196" s="50">
        <v>10</v>
      </c>
      <c r="I196" s="55">
        <v>100</v>
      </c>
      <c r="J196" s="49" t="s">
        <v>36</v>
      </c>
      <c r="K196" s="49" t="s">
        <v>37</v>
      </c>
    </row>
    <row r="197" spans="1:15" ht="15.75" customHeight="1">
      <c r="A197" s="49">
        <v>18</v>
      </c>
      <c r="B197" s="49" t="s">
        <v>1781</v>
      </c>
      <c r="C197" s="49" t="s">
        <v>227</v>
      </c>
      <c r="D197" s="49" t="s">
        <v>239</v>
      </c>
      <c r="E197" s="49" t="s">
        <v>51</v>
      </c>
      <c r="F197" s="49"/>
      <c r="G197" s="49" t="s">
        <v>35</v>
      </c>
      <c r="H197" s="50">
        <v>2500</v>
      </c>
      <c r="I197" s="55">
        <v>500</v>
      </c>
      <c r="J197" s="49" t="s">
        <v>36</v>
      </c>
      <c r="K197" s="49" t="s">
        <v>37</v>
      </c>
      <c r="O197" s="4"/>
    </row>
    <row r="198" spans="1:15" ht="15.75" customHeight="1">
      <c r="A198" s="49">
        <v>18</v>
      </c>
      <c r="B198" s="49" t="s">
        <v>1781</v>
      </c>
      <c r="C198" s="49" t="s">
        <v>227</v>
      </c>
      <c r="D198" s="49" t="s">
        <v>239</v>
      </c>
      <c r="E198" s="49" t="s">
        <v>51</v>
      </c>
      <c r="F198" s="49"/>
      <c r="G198" s="49" t="s">
        <v>35</v>
      </c>
      <c r="H198" s="50">
        <v>2000</v>
      </c>
      <c r="I198" s="55">
        <v>800</v>
      </c>
      <c r="J198" s="49" t="s">
        <v>36</v>
      </c>
      <c r="K198" s="49" t="s">
        <v>37</v>
      </c>
    </row>
    <row r="199" spans="1:15" ht="15.75" customHeight="1">
      <c r="A199" s="49">
        <v>18</v>
      </c>
      <c r="B199" s="49" t="s">
        <v>1781</v>
      </c>
      <c r="C199" s="49" t="s">
        <v>227</v>
      </c>
      <c r="D199" s="49" t="s">
        <v>239</v>
      </c>
      <c r="E199" s="49" t="s">
        <v>51</v>
      </c>
      <c r="F199" s="49"/>
      <c r="G199" s="49" t="s">
        <v>242</v>
      </c>
      <c r="H199" s="50">
        <v>33</v>
      </c>
      <c r="I199" s="55">
        <v>99</v>
      </c>
      <c r="J199" s="49" t="s">
        <v>36</v>
      </c>
      <c r="K199" s="49" t="s">
        <v>37</v>
      </c>
    </row>
    <row r="200" spans="1:15" ht="15.75" customHeight="1">
      <c r="A200" s="49">
        <v>18</v>
      </c>
      <c r="B200" s="49" t="s">
        <v>1782</v>
      </c>
      <c r="C200" s="49" t="s">
        <v>246</v>
      </c>
      <c r="D200" s="49" t="s">
        <v>1783</v>
      </c>
      <c r="E200" s="49" t="s">
        <v>232</v>
      </c>
      <c r="F200" s="49"/>
      <c r="G200" s="49" t="s">
        <v>35</v>
      </c>
      <c r="H200" s="50">
        <v>1000</v>
      </c>
      <c r="I200" s="55">
        <v>200</v>
      </c>
      <c r="J200" s="49" t="s">
        <v>36</v>
      </c>
      <c r="K200" s="49" t="s">
        <v>37</v>
      </c>
    </row>
    <row r="201" spans="1:15" ht="15.75" customHeight="1">
      <c r="A201" s="49">
        <v>18</v>
      </c>
      <c r="B201" s="49" t="s">
        <v>1784</v>
      </c>
      <c r="C201" s="49" t="s">
        <v>227</v>
      </c>
      <c r="D201" s="49" t="s">
        <v>740</v>
      </c>
      <c r="E201" s="49" t="s">
        <v>199</v>
      </c>
      <c r="F201" s="49"/>
      <c r="G201" s="49" t="s">
        <v>35</v>
      </c>
      <c r="H201" s="50">
        <v>500</v>
      </c>
      <c r="I201" s="55">
        <v>100</v>
      </c>
      <c r="J201" s="49" t="s">
        <v>36</v>
      </c>
      <c r="K201" s="49" t="s">
        <v>37</v>
      </c>
    </row>
    <row r="202" spans="1:15" ht="15.75" customHeight="1">
      <c r="A202" s="49">
        <v>18</v>
      </c>
      <c r="B202" s="49" t="s">
        <v>1785</v>
      </c>
      <c r="C202" s="49" t="s">
        <v>227</v>
      </c>
      <c r="D202" s="49" t="s">
        <v>295</v>
      </c>
      <c r="E202" s="49" t="s">
        <v>248</v>
      </c>
      <c r="F202" s="49"/>
      <c r="G202" s="49" t="s">
        <v>35</v>
      </c>
      <c r="H202" s="50">
        <v>800</v>
      </c>
      <c r="I202" s="55">
        <v>320</v>
      </c>
      <c r="J202" s="49" t="s">
        <v>36</v>
      </c>
      <c r="K202" s="49" t="s">
        <v>37</v>
      </c>
    </row>
    <row r="203" spans="1:15" ht="15.75" customHeight="1">
      <c r="A203" s="49">
        <v>18</v>
      </c>
      <c r="B203" s="49" t="s">
        <v>1786</v>
      </c>
      <c r="C203" s="49" t="s">
        <v>227</v>
      </c>
      <c r="D203" s="49" t="s">
        <v>604</v>
      </c>
      <c r="E203" s="49" t="s">
        <v>321</v>
      </c>
      <c r="F203" s="49"/>
      <c r="G203" s="49" t="s">
        <v>35</v>
      </c>
      <c r="H203" s="50">
        <v>4000</v>
      </c>
      <c r="I203" s="55">
        <v>1600</v>
      </c>
      <c r="J203" s="49" t="s">
        <v>36</v>
      </c>
      <c r="K203" s="49" t="s">
        <v>37</v>
      </c>
      <c r="O203" s="4"/>
    </row>
    <row r="204" spans="1:15" ht="15.75" customHeight="1">
      <c r="A204" s="49">
        <v>18</v>
      </c>
      <c r="B204" s="49" t="s">
        <v>1787</v>
      </c>
      <c r="C204" s="49" t="s">
        <v>227</v>
      </c>
      <c r="D204" s="49" t="s">
        <v>32</v>
      </c>
      <c r="E204" s="49" t="s">
        <v>241</v>
      </c>
      <c r="F204" s="49"/>
      <c r="G204" s="49" t="s">
        <v>35</v>
      </c>
      <c r="H204" s="50">
        <v>500</v>
      </c>
      <c r="I204" s="55"/>
      <c r="J204" s="49" t="s">
        <v>43</v>
      </c>
      <c r="K204" s="49" t="s">
        <v>37</v>
      </c>
    </row>
    <row r="205" spans="1:15" ht="15.75" customHeight="1">
      <c r="A205" s="49">
        <v>18</v>
      </c>
      <c r="B205" s="49" t="s">
        <v>1788</v>
      </c>
      <c r="C205" s="49" t="s">
        <v>227</v>
      </c>
      <c r="D205" s="49" t="s">
        <v>231</v>
      </c>
      <c r="E205" s="49" t="s">
        <v>232</v>
      </c>
      <c r="F205" s="49"/>
      <c r="G205" s="49" t="s">
        <v>35</v>
      </c>
      <c r="H205" s="50">
        <v>5500</v>
      </c>
      <c r="I205" s="55">
        <v>2200</v>
      </c>
      <c r="J205" s="49" t="s">
        <v>36</v>
      </c>
      <c r="K205" s="49" t="s">
        <v>37</v>
      </c>
      <c r="O205" s="4"/>
    </row>
    <row r="206" spans="1:15" ht="15.75" customHeight="1">
      <c r="A206" s="49">
        <v>18</v>
      </c>
      <c r="B206" s="49" t="s">
        <v>1789</v>
      </c>
      <c r="C206" s="49" t="s">
        <v>227</v>
      </c>
      <c r="D206" s="49" t="s">
        <v>295</v>
      </c>
      <c r="E206" s="49" t="s">
        <v>248</v>
      </c>
      <c r="F206" s="49"/>
      <c r="G206" s="49" t="s">
        <v>35</v>
      </c>
      <c r="H206" s="50">
        <v>1200</v>
      </c>
      <c r="I206" s="55">
        <v>360</v>
      </c>
      <c r="J206" s="49" t="s">
        <v>36</v>
      </c>
      <c r="K206" s="49" t="s">
        <v>37</v>
      </c>
    </row>
    <row r="207" spans="1:15" ht="15.75" customHeight="1">
      <c r="A207" s="49">
        <v>18</v>
      </c>
      <c r="B207" s="49" t="s">
        <v>1790</v>
      </c>
      <c r="C207" s="49" t="s">
        <v>227</v>
      </c>
      <c r="D207" s="49" t="s">
        <v>916</v>
      </c>
      <c r="E207" s="49" t="s">
        <v>917</v>
      </c>
      <c r="F207" s="49"/>
      <c r="G207" s="49" t="s">
        <v>120</v>
      </c>
      <c r="H207" s="50">
        <v>30</v>
      </c>
      <c r="I207" s="55">
        <v>300</v>
      </c>
      <c r="J207" s="49" t="s">
        <v>36</v>
      </c>
      <c r="K207" s="49" t="s">
        <v>37</v>
      </c>
    </row>
    <row r="208" spans="1:15" ht="15.75" customHeight="1">
      <c r="A208" s="49">
        <v>18</v>
      </c>
      <c r="B208" s="49" t="s">
        <v>1791</v>
      </c>
      <c r="C208" s="49" t="s">
        <v>227</v>
      </c>
      <c r="D208" s="49" t="s">
        <v>231</v>
      </c>
      <c r="E208" s="49" t="s">
        <v>232</v>
      </c>
      <c r="F208" s="49"/>
      <c r="G208" s="49" t="s">
        <v>35</v>
      </c>
      <c r="H208" s="50">
        <v>3000</v>
      </c>
      <c r="I208" s="55">
        <v>1200</v>
      </c>
      <c r="J208" s="49" t="s">
        <v>36</v>
      </c>
      <c r="K208" s="49" t="s">
        <v>37</v>
      </c>
    </row>
    <row r="209" spans="1:15" ht="15.75" customHeight="1">
      <c r="A209" s="49">
        <v>18</v>
      </c>
      <c r="B209" s="49" t="s">
        <v>1792</v>
      </c>
      <c r="C209" s="49" t="s">
        <v>227</v>
      </c>
      <c r="D209" s="49" t="s">
        <v>772</v>
      </c>
      <c r="E209" s="49" t="s">
        <v>232</v>
      </c>
      <c r="F209" s="49"/>
      <c r="G209" s="49" t="s">
        <v>35</v>
      </c>
      <c r="H209" s="50">
        <v>500</v>
      </c>
      <c r="I209" s="55">
        <v>200</v>
      </c>
      <c r="J209" s="49" t="s">
        <v>36</v>
      </c>
      <c r="K209" s="49" t="s">
        <v>37</v>
      </c>
    </row>
    <row r="210" spans="1:15" ht="15.75" customHeight="1">
      <c r="A210" s="49">
        <v>18</v>
      </c>
      <c r="B210" s="49" t="s">
        <v>1793</v>
      </c>
      <c r="C210" s="49" t="s">
        <v>246</v>
      </c>
      <c r="D210" s="49" t="s">
        <v>515</v>
      </c>
      <c r="E210" s="49" t="s">
        <v>164</v>
      </c>
      <c r="F210" s="49"/>
      <c r="G210" s="49" t="s">
        <v>35</v>
      </c>
      <c r="H210" s="50">
        <v>300</v>
      </c>
      <c r="I210" s="55">
        <v>90</v>
      </c>
      <c r="J210" s="49" t="s">
        <v>36</v>
      </c>
      <c r="K210" s="49" t="s">
        <v>37</v>
      </c>
    </row>
    <row r="211" spans="1:15" ht="15.75" customHeight="1">
      <c r="A211" s="49">
        <v>18</v>
      </c>
      <c r="B211" s="49" t="s">
        <v>1794</v>
      </c>
      <c r="C211" s="49" t="s">
        <v>227</v>
      </c>
      <c r="D211" s="49" t="s">
        <v>1795</v>
      </c>
      <c r="E211" s="49" t="s">
        <v>307</v>
      </c>
      <c r="F211" s="49"/>
      <c r="G211" s="49" t="s">
        <v>35</v>
      </c>
      <c r="H211" s="50">
        <v>100</v>
      </c>
      <c r="I211" s="55">
        <v>40</v>
      </c>
      <c r="J211" s="49" t="s">
        <v>36</v>
      </c>
      <c r="K211" s="49" t="s">
        <v>37</v>
      </c>
    </row>
    <row r="212" spans="1:15" ht="15.75" customHeight="1">
      <c r="A212" s="49">
        <v>18</v>
      </c>
      <c r="B212" s="49" t="s">
        <v>1719</v>
      </c>
      <c r="C212" s="49" t="s">
        <v>246</v>
      </c>
      <c r="D212" s="49" t="s">
        <v>736</v>
      </c>
      <c r="E212" s="49" t="s">
        <v>232</v>
      </c>
      <c r="F212" s="49"/>
      <c r="G212" s="49" t="s">
        <v>35</v>
      </c>
      <c r="H212" s="50">
        <v>2500</v>
      </c>
      <c r="I212" s="55">
        <v>1000</v>
      </c>
      <c r="J212" s="49" t="s">
        <v>36</v>
      </c>
      <c r="K212" s="49" t="s">
        <v>37</v>
      </c>
    </row>
    <row r="213" spans="1:15" ht="15.75" customHeight="1">
      <c r="A213" s="49">
        <v>18</v>
      </c>
      <c r="B213" s="49" t="s">
        <v>1796</v>
      </c>
      <c r="C213" s="49" t="s">
        <v>227</v>
      </c>
      <c r="D213" s="49" t="s">
        <v>32</v>
      </c>
      <c r="E213" s="49" t="s">
        <v>241</v>
      </c>
      <c r="F213" s="49"/>
      <c r="G213" s="49" t="s">
        <v>35</v>
      </c>
      <c r="H213" s="50">
        <v>250</v>
      </c>
      <c r="I213" s="55">
        <v>75</v>
      </c>
      <c r="J213" s="49" t="s">
        <v>36</v>
      </c>
      <c r="K213" s="49" t="s">
        <v>37</v>
      </c>
    </row>
    <row r="214" spans="1:15" ht="15.75" customHeight="1">
      <c r="A214" s="49">
        <v>20</v>
      </c>
      <c r="B214" s="49" t="s">
        <v>1797</v>
      </c>
      <c r="C214" s="49" t="s">
        <v>227</v>
      </c>
      <c r="D214" s="49" t="s">
        <v>682</v>
      </c>
      <c r="E214" s="49" t="s">
        <v>386</v>
      </c>
      <c r="F214" s="49"/>
      <c r="G214" s="49" t="s">
        <v>35</v>
      </c>
      <c r="H214" s="50">
        <v>1000</v>
      </c>
      <c r="I214" s="55">
        <v>200</v>
      </c>
      <c r="J214" s="49" t="s">
        <v>36</v>
      </c>
      <c r="K214" s="49" t="s">
        <v>37</v>
      </c>
    </row>
    <row r="215" spans="1:15" ht="15.75" customHeight="1">
      <c r="A215" s="49">
        <v>20</v>
      </c>
      <c r="B215" s="49" t="s">
        <v>1797</v>
      </c>
      <c r="C215" s="49" t="s">
        <v>227</v>
      </c>
      <c r="D215" s="49" t="s">
        <v>682</v>
      </c>
      <c r="E215" s="49" t="s">
        <v>386</v>
      </c>
      <c r="F215" s="49"/>
      <c r="G215" s="49" t="s">
        <v>120</v>
      </c>
      <c r="H215" s="50">
        <v>120</v>
      </c>
      <c r="I215" s="55">
        <v>1200</v>
      </c>
      <c r="J215" s="49" t="s">
        <v>36</v>
      </c>
      <c r="K215" s="49" t="s">
        <v>37</v>
      </c>
    </row>
    <row r="216" spans="1:15" ht="15.75" customHeight="1">
      <c r="A216" s="49">
        <v>20</v>
      </c>
      <c r="B216" s="49" t="s">
        <v>1798</v>
      </c>
      <c r="C216" s="49" t="s">
        <v>227</v>
      </c>
      <c r="D216" s="49" t="s">
        <v>679</v>
      </c>
      <c r="E216" s="49" t="s">
        <v>232</v>
      </c>
      <c r="F216" s="49"/>
      <c r="G216" s="49" t="s">
        <v>35</v>
      </c>
      <c r="H216" s="50">
        <v>500</v>
      </c>
      <c r="I216" s="55">
        <v>100</v>
      </c>
      <c r="J216" s="49" t="s">
        <v>36</v>
      </c>
      <c r="K216" s="49" t="s">
        <v>37</v>
      </c>
    </row>
    <row r="217" spans="1:15" ht="15.75" customHeight="1">
      <c r="A217" s="49">
        <v>20</v>
      </c>
      <c r="B217" s="49" t="s">
        <v>1798</v>
      </c>
      <c r="C217" s="49" t="s">
        <v>227</v>
      </c>
      <c r="D217" s="49" t="s">
        <v>679</v>
      </c>
      <c r="E217" s="49" t="s">
        <v>232</v>
      </c>
      <c r="F217" s="49"/>
      <c r="G217" s="49" t="s">
        <v>35</v>
      </c>
      <c r="H217" s="50">
        <v>500</v>
      </c>
      <c r="I217" s="55"/>
      <c r="J217" s="49" t="s">
        <v>43</v>
      </c>
      <c r="K217" s="49" t="s">
        <v>37</v>
      </c>
    </row>
    <row r="218" spans="1:15" ht="15.75" customHeight="1">
      <c r="A218" s="49">
        <v>20</v>
      </c>
      <c r="B218" s="49" t="s">
        <v>1799</v>
      </c>
      <c r="C218" s="49" t="s">
        <v>227</v>
      </c>
      <c r="D218" s="49" t="s">
        <v>326</v>
      </c>
      <c r="E218" s="49" t="s">
        <v>41</v>
      </c>
      <c r="F218" s="49"/>
      <c r="G218" s="49" t="s">
        <v>35</v>
      </c>
      <c r="H218" s="50">
        <v>500</v>
      </c>
      <c r="I218" s="55">
        <v>100</v>
      </c>
      <c r="J218" s="49" t="s">
        <v>36</v>
      </c>
      <c r="K218" s="49" t="s">
        <v>37</v>
      </c>
    </row>
    <row r="219" spans="1:15" ht="15.75" customHeight="1">
      <c r="A219" s="49">
        <v>20</v>
      </c>
      <c r="B219" s="49" t="s">
        <v>1800</v>
      </c>
      <c r="C219" s="49" t="s">
        <v>227</v>
      </c>
      <c r="D219" s="49" t="s">
        <v>1688</v>
      </c>
      <c r="E219" s="49" t="s">
        <v>41</v>
      </c>
      <c r="F219" s="49"/>
      <c r="G219" s="49" t="s">
        <v>35</v>
      </c>
      <c r="H219" s="50">
        <v>6000</v>
      </c>
      <c r="I219" s="55">
        <v>1200</v>
      </c>
      <c r="J219" s="49" t="s">
        <v>36</v>
      </c>
      <c r="K219" s="49" t="s">
        <v>37</v>
      </c>
      <c r="O219" s="4"/>
    </row>
    <row r="220" spans="1:15" ht="15.75" customHeight="1">
      <c r="A220" s="49">
        <v>20</v>
      </c>
      <c r="B220" s="49" t="s">
        <v>1801</v>
      </c>
      <c r="C220" s="49" t="s">
        <v>227</v>
      </c>
      <c r="D220" s="49" t="s">
        <v>32</v>
      </c>
      <c r="E220" s="49" t="s">
        <v>51</v>
      </c>
      <c r="F220" s="49"/>
      <c r="G220" s="49" t="s">
        <v>35</v>
      </c>
      <c r="H220" s="50">
        <v>150</v>
      </c>
      <c r="I220" s="55">
        <v>30</v>
      </c>
      <c r="J220" s="49" t="s">
        <v>36</v>
      </c>
      <c r="K220" s="49" t="s">
        <v>37</v>
      </c>
    </row>
    <row r="221" spans="1:15" ht="15.75" customHeight="1">
      <c r="A221" s="49">
        <v>20</v>
      </c>
      <c r="B221" s="49" t="s">
        <v>1801</v>
      </c>
      <c r="C221" s="49" t="s">
        <v>227</v>
      </c>
      <c r="D221" s="49" t="s">
        <v>32</v>
      </c>
      <c r="E221" s="49" t="s">
        <v>51</v>
      </c>
      <c r="F221" s="49"/>
      <c r="G221" s="49" t="s">
        <v>120</v>
      </c>
      <c r="H221" s="50">
        <v>40</v>
      </c>
      <c r="I221" s="55">
        <v>400</v>
      </c>
      <c r="J221" s="49" t="s">
        <v>36</v>
      </c>
      <c r="K221" s="49" t="s">
        <v>37</v>
      </c>
    </row>
    <row r="222" spans="1:15" ht="15.75" customHeight="1">
      <c r="A222" s="49">
        <v>20</v>
      </c>
      <c r="B222" s="49" t="s">
        <v>1802</v>
      </c>
      <c r="C222" s="49" t="s">
        <v>227</v>
      </c>
      <c r="D222" s="49" t="s">
        <v>290</v>
      </c>
      <c r="E222" s="49" t="s">
        <v>232</v>
      </c>
      <c r="F222" s="49"/>
      <c r="G222" s="49" t="s">
        <v>35</v>
      </c>
      <c r="H222" s="50">
        <v>2000</v>
      </c>
      <c r="I222" s="55">
        <v>400</v>
      </c>
      <c r="J222" s="49" t="s">
        <v>36</v>
      </c>
      <c r="K222" s="49" t="s">
        <v>37</v>
      </c>
    </row>
    <row r="223" spans="1:15" ht="15.75" customHeight="1">
      <c r="A223" s="49">
        <v>20</v>
      </c>
      <c r="B223" s="49" t="s">
        <v>1803</v>
      </c>
      <c r="C223" s="49" t="s">
        <v>227</v>
      </c>
      <c r="D223" s="49" t="s">
        <v>1804</v>
      </c>
      <c r="E223" s="49" t="s">
        <v>51</v>
      </c>
      <c r="F223" s="49"/>
      <c r="G223" s="49" t="s">
        <v>35</v>
      </c>
      <c r="H223" s="50">
        <v>1000</v>
      </c>
      <c r="I223" s="55">
        <v>200</v>
      </c>
      <c r="J223" s="49" t="s">
        <v>36</v>
      </c>
      <c r="K223" s="49" t="s">
        <v>37</v>
      </c>
    </row>
    <row r="224" spans="1:15" ht="15.75" customHeight="1">
      <c r="A224" s="49">
        <v>20</v>
      </c>
      <c r="B224" s="49" t="s">
        <v>1805</v>
      </c>
      <c r="C224" s="49" t="s">
        <v>227</v>
      </c>
      <c r="D224" s="49" t="s">
        <v>1081</v>
      </c>
      <c r="E224" s="49" t="s">
        <v>235</v>
      </c>
      <c r="F224" s="49"/>
      <c r="G224" s="49" t="s">
        <v>35</v>
      </c>
      <c r="H224" s="50">
        <v>1000</v>
      </c>
      <c r="I224" s="55">
        <v>200</v>
      </c>
      <c r="J224" s="49" t="s">
        <v>36</v>
      </c>
      <c r="K224" s="49" t="s">
        <v>37</v>
      </c>
    </row>
    <row r="225" spans="1:17" ht="15.75" customHeight="1">
      <c r="A225" s="49">
        <v>20</v>
      </c>
      <c r="B225" s="49" t="s">
        <v>1805</v>
      </c>
      <c r="C225" s="49" t="s">
        <v>227</v>
      </c>
      <c r="D225" s="49" t="s">
        <v>1081</v>
      </c>
      <c r="E225" s="49" t="s">
        <v>235</v>
      </c>
      <c r="F225" s="49"/>
      <c r="G225" s="49" t="s">
        <v>120</v>
      </c>
      <c r="H225" s="50">
        <v>10</v>
      </c>
      <c r="I225" s="55">
        <v>100</v>
      </c>
      <c r="J225" s="49" t="s">
        <v>36</v>
      </c>
      <c r="K225" s="49" t="s">
        <v>37</v>
      </c>
    </row>
    <row r="226" spans="1:17" ht="15.75" customHeight="1">
      <c r="A226" s="49">
        <v>20</v>
      </c>
      <c r="B226" s="49" t="s">
        <v>1806</v>
      </c>
      <c r="C226" s="49" t="s">
        <v>227</v>
      </c>
      <c r="D226" s="49" t="s">
        <v>323</v>
      </c>
      <c r="E226" s="49" t="s">
        <v>232</v>
      </c>
      <c r="F226" s="49"/>
      <c r="G226" s="49" t="s">
        <v>35</v>
      </c>
      <c r="H226" s="50">
        <v>500</v>
      </c>
      <c r="I226" s="55">
        <v>100</v>
      </c>
      <c r="J226" s="49" t="s">
        <v>36</v>
      </c>
      <c r="K226" s="49" t="s">
        <v>37</v>
      </c>
    </row>
    <row r="227" spans="1:17" ht="15.75" customHeight="1">
      <c r="A227" s="49">
        <v>20</v>
      </c>
      <c r="B227" s="49" t="s">
        <v>1806</v>
      </c>
      <c r="C227" s="49" t="s">
        <v>227</v>
      </c>
      <c r="D227" s="49" t="s">
        <v>323</v>
      </c>
      <c r="E227" s="49" t="s">
        <v>232</v>
      </c>
      <c r="F227" s="49"/>
      <c r="G227" s="49" t="s">
        <v>35</v>
      </c>
      <c r="H227" s="50">
        <v>500</v>
      </c>
      <c r="I227" s="55"/>
      <c r="J227" s="49" t="s">
        <v>43</v>
      </c>
      <c r="K227" s="49" t="s">
        <v>37</v>
      </c>
    </row>
    <row r="228" spans="1:17" ht="15.75" customHeight="1">
      <c r="A228" s="49">
        <v>20</v>
      </c>
      <c r="B228" s="49" t="s">
        <v>1807</v>
      </c>
      <c r="C228" s="49" t="s">
        <v>227</v>
      </c>
      <c r="D228" s="49" t="s">
        <v>323</v>
      </c>
      <c r="E228" s="49" t="s">
        <v>232</v>
      </c>
      <c r="F228" s="49"/>
      <c r="G228" s="49" t="s">
        <v>35</v>
      </c>
      <c r="H228" s="50">
        <v>500</v>
      </c>
      <c r="I228" s="55">
        <v>100</v>
      </c>
      <c r="J228" s="49" t="s">
        <v>36</v>
      </c>
      <c r="K228" s="49" t="s">
        <v>37</v>
      </c>
    </row>
    <row r="229" spans="1:17" ht="15.75" customHeight="1">
      <c r="A229" s="49">
        <v>20</v>
      </c>
      <c r="B229" s="49" t="s">
        <v>1807</v>
      </c>
      <c r="C229" s="49" t="s">
        <v>227</v>
      </c>
      <c r="D229" s="49" t="s">
        <v>323</v>
      </c>
      <c r="E229" s="49" t="s">
        <v>232</v>
      </c>
      <c r="F229" s="49"/>
      <c r="G229" s="49" t="s">
        <v>35</v>
      </c>
      <c r="H229" s="50">
        <v>500</v>
      </c>
      <c r="I229" s="55"/>
      <c r="J229" s="49" t="s">
        <v>43</v>
      </c>
      <c r="K229" s="49" t="s">
        <v>37</v>
      </c>
    </row>
    <row r="230" spans="1:17" ht="15.75" customHeight="1">
      <c r="A230" s="49">
        <v>20</v>
      </c>
      <c r="B230" s="49" t="s">
        <v>1808</v>
      </c>
      <c r="C230" s="49" t="s">
        <v>227</v>
      </c>
      <c r="D230" s="49" t="s">
        <v>323</v>
      </c>
      <c r="E230" s="49" t="s">
        <v>232</v>
      </c>
      <c r="F230" s="49"/>
      <c r="G230" s="49" t="s">
        <v>35</v>
      </c>
      <c r="H230" s="50">
        <v>500</v>
      </c>
      <c r="I230" s="55">
        <v>100</v>
      </c>
      <c r="J230" s="49" t="s">
        <v>36</v>
      </c>
      <c r="K230" s="49" t="s">
        <v>37</v>
      </c>
    </row>
    <row r="231" spans="1:17" ht="15.75" customHeight="1">
      <c r="A231" s="49">
        <v>20</v>
      </c>
      <c r="B231" s="49" t="s">
        <v>1808</v>
      </c>
      <c r="C231" s="49" t="s">
        <v>227</v>
      </c>
      <c r="D231" s="49" t="s">
        <v>323</v>
      </c>
      <c r="E231" s="49" t="s">
        <v>232</v>
      </c>
      <c r="F231" s="49"/>
      <c r="G231" s="49" t="s">
        <v>35</v>
      </c>
      <c r="H231" s="50">
        <v>500</v>
      </c>
      <c r="I231" s="55"/>
      <c r="J231" s="49" t="s">
        <v>43</v>
      </c>
      <c r="K231" s="49" t="s">
        <v>37</v>
      </c>
    </row>
    <row r="232" spans="1:17" ht="15.75" customHeight="1">
      <c r="A232" s="49">
        <v>20</v>
      </c>
      <c r="B232" s="49" t="s">
        <v>1809</v>
      </c>
      <c r="C232" s="49" t="s">
        <v>227</v>
      </c>
      <c r="D232" s="49" t="s">
        <v>323</v>
      </c>
      <c r="E232" s="49" t="s">
        <v>232</v>
      </c>
      <c r="F232" s="49"/>
      <c r="G232" s="49" t="s">
        <v>35</v>
      </c>
      <c r="H232" s="50">
        <v>1000</v>
      </c>
      <c r="I232" s="55">
        <v>200</v>
      </c>
      <c r="J232" s="49" t="s">
        <v>36</v>
      </c>
      <c r="K232" s="49" t="s">
        <v>37</v>
      </c>
    </row>
    <row r="233" spans="1:17" ht="15.75" customHeight="1">
      <c r="A233" s="49">
        <v>20</v>
      </c>
      <c r="B233" s="49" t="s">
        <v>1809</v>
      </c>
      <c r="C233" s="49" t="s">
        <v>227</v>
      </c>
      <c r="D233" s="49" t="s">
        <v>323</v>
      </c>
      <c r="E233" s="49" t="s">
        <v>232</v>
      </c>
      <c r="F233" s="49"/>
      <c r="G233" s="49" t="s">
        <v>35</v>
      </c>
      <c r="H233" s="50">
        <v>500</v>
      </c>
      <c r="I233" s="55"/>
      <c r="J233" s="49" t="s">
        <v>43</v>
      </c>
      <c r="K233" s="49" t="s">
        <v>37</v>
      </c>
    </row>
    <row r="234" spans="1:17" ht="15.75" customHeight="1">
      <c r="A234" s="49">
        <v>20</v>
      </c>
      <c r="B234" s="49" t="s">
        <v>1810</v>
      </c>
      <c r="C234" s="49" t="s">
        <v>227</v>
      </c>
      <c r="D234" s="49" t="s">
        <v>1811</v>
      </c>
      <c r="E234" s="49" t="s">
        <v>323</v>
      </c>
      <c r="F234" s="49"/>
      <c r="G234" s="49" t="s">
        <v>120</v>
      </c>
      <c r="H234" s="50">
        <v>15</v>
      </c>
      <c r="I234" s="55">
        <v>150</v>
      </c>
      <c r="J234" s="49" t="s">
        <v>36</v>
      </c>
      <c r="K234" s="49" t="s">
        <v>37</v>
      </c>
    </row>
    <row r="235" spans="1:17" ht="15.75" customHeight="1">
      <c r="A235" s="49">
        <v>20</v>
      </c>
      <c r="B235" s="49" t="s">
        <v>1812</v>
      </c>
      <c r="C235" s="49" t="s">
        <v>227</v>
      </c>
      <c r="D235" s="49" t="s">
        <v>772</v>
      </c>
      <c r="E235" s="49" t="s">
        <v>232</v>
      </c>
      <c r="F235" s="49"/>
      <c r="G235" s="49" t="s">
        <v>35</v>
      </c>
      <c r="H235" s="50">
        <v>500</v>
      </c>
      <c r="I235" s="55">
        <v>100</v>
      </c>
      <c r="J235" s="49" t="s">
        <v>36</v>
      </c>
      <c r="K235" s="49" t="s">
        <v>37</v>
      </c>
    </row>
    <row r="236" spans="1:17" ht="15.75" customHeight="1">
      <c r="A236" s="49">
        <v>20</v>
      </c>
      <c r="B236" s="49" t="s">
        <v>1813</v>
      </c>
      <c r="C236" s="49" t="s">
        <v>227</v>
      </c>
      <c r="D236" s="49" t="s">
        <v>1390</v>
      </c>
      <c r="E236" s="49" t="s">
        <v>80</v>
      </c>
      <c r="F236" s="49"/>
      <c r="G236" s="49" t="s">
        <v>35</v>
      </c>
      <c r="H236" s="50">
        <v>2000</v>
      </c>
      <c r="I236" s="55">
        <v>400</v>
      </c>
      <c r="J236" s="49" t="s">
        <v>36</v>
      </c>
      <c r="K236" s="49" t="s">
        <v>37</v>
      </c>
    </row>
    <row r="237" spans="1:17" ht="15.75" customHeight="1">
      <c r="A237" s="49">
        <v>20</v>
      </c>
      <c r="B237" s="49" t="s">
        <v>1814</v>
      </c>
      <c r="C237" s="49" t="s">
        <v>227</v>
      </c>
      <c r="D237" s="49" t="s">
        <v>421</v>
      </c>
      <c r="E237" s="49" t="s">
        <v>251</v>
      </c>
      <c r="F237" s="49"/>
      <c r="G237" s="49" t="s">
        <v>35</v>
      </c>
      <c r="H237" s="50">
        <v>300</v>
      </c>
      <c r="I237" s="55">
        <v>60</v>
      </c>
      <c r="J237" s="49" t="s">
        <v>36</v>
      </c>
      <c r="K237" s="49" t="s">
        <v>37</v>
      </c>
    </row>
    <row r="238" spans="1:17" ht="15.75" customHeight="1">
      <c r="A238" s="49">
        <v>20</v>
      </c>
      <c r="B238" s="49" t="s">
        <v>1815</v>
      </c>
      <c r="C238" s="49" t="s">
        <v>227</v>
      </c>
      <c r="D238" s="49" t="s">
        <v>1816</v>
      </c>
      <c r="E238" s="49" t="s">
        <v>307</v>
      </c>
      <c r="F238" s="49"/>
      <c r="G238" s="49" t="s">
        <v>35</v>
      </c>
      <c r="H238" s="50">
        <v>250</v>
      </c>
      <c r="I238" s="55">
        <v>50</v>
      </c>
      <c r="J238" s="49" t="s">
        <v>36</v>
      </c>
      <c r="K238" s="49" t="s">
        <v>37</v>
      </c>
    </row>
    <row r="239" spans="1:17" ht="15.75" customHeight="1">
      <c r="A239" s="49">
        <v>20</v>
      </c>
      <c r="B239" s="49" t="s">
        <v>1817</v>
      </c>
      <c r="C239" s="49" t="s">
        <v>227</v>
      </c>
      <c r="D239" s="49" t="s">
        <v>32</v>
      </c>
      <c r="E239" s="49" t="s">
        <v>193</v>
      </c>
      <c r="F239" s="49"/>
      <c r="G239" s="49" t="s">
        <v>35</v>
      </c>
      <c r="H239" s="50">
        <v>6000</v>
      </c>
      <c r="I239" s="55">
        <v>1200</v>
      </c>
      <c r="J239" s="49" t="s">
        <v>36</v>
      </c>
      <c r="K239" s="49" t="s">
        <v>37</v>
      </c>
      <c r="Q239" s="4"/>
    </row>
    <row r="240" spans="1:17" ht="15.75" customHeight="1">
      <c r="A240" s="49">
        <v>20</v>
      </c>
      <c r="B240" s="49" t="s">
        <v>1818</v>
      </c>
      <c r="C240" s="49" t="s">
        <v>246</v>
      </c>
      <c r="D240" s="49" t="s">
        <v>1171</v>
      </c>
      <c r="E240" s="49" t="s">
        <v>48</v>
      </c>
      <c r="F240" s="49"/>
      <c r="G240" s="49" t="s">
        <v>35</v>
      </c>
      <c r="H240" s="50">
        <v>600</v>
      </c>
      <c r="I240" s="55">
        <v>120</v>
      </c>
      <c r="J240" s="49" t="s">
        <v>36</v>
      </c>
      <c r="K240" s="49" t="s">
        <v>37</v>
      </c>
    </row>
    <row r="241" spans="1:15" ht="15.75" customHeight="1">
      <c r="A241" s="49">
        <v>20</v>
      </c>
      <c r="B241" s="49" t="s">
        <v>1819</v>
      </c>
      <c r="C241" s="49" t="s">
        <v>246</v>
      </c>
      <c r="D241" s="49" t="s">
        <v>1171</v>
      </c>
      <c r="E241" s="49" t="s">
        <v>48</v>
      </c>
      <c r="F241" s="49"/>
      <c r="G241" s="49" t="s">
        <v>120</v>
      </c>
      <c r="H241" s="50">
        <v>10</v>
      </c>
      <c r="I241" s="55">
        <v>100</v>
      </c>
      <c r="J241" s="49" t="s">
        <v>36</v>
      </c>
      <c r="K241" s="49" t="s">
        <v>37</v>
      </c>
    </row>
    <row r="242" spans="1:15" ht="15.75" customHeight="1">
      <c r="A242" s="49">
        <v>20</v>
      </c>
      <c r="B242" s="49" t="s">
        <v>1820</v>
      </c>
      <c r="C242" s="49" t="s">
        <v>227</v>
      </c>
      <c r="D242" s="49" t="s">
        <v>798</v>
      </c>
      <c r="E242" s="49" t="s">
        <v>248</v>
      </c>
      <c r="F242" s="49"/>
      <c r="G242" s="49" t="s">
        <v>35</v>
      </c>
      <c r="H242" s="50">
        <v>2000</v>
      </c>
      <c r="I242" s="55">
        <v>400</v>
      </c>
      <c r="J242" s="49" t="s">
        <v>36</v>
      </c>
      <c r="K242" s="49" t="s">
        <v>37</v>
      </c>
    </row>
    <row r="243" spans="1:15" ht="15.75" customHeight="1">
      <c r="A243" s="49">
        <v>20</v>
      </c>
      <c r="B243" s="49" t="s">
        <v>1821</v>
      </c>
      <c r="C243" s="49" t="s">
        <v>227</v>
      </c>
      <c r="D243" s="49" t="s">
        <v>231</v>
      </c>
      <c r="E243" s="49" t="s">
        <v>232</v>
      </c>
      <c r="F243" s="49"/>
      <c r="G243" s="49" t="s">
        <v>35</v>
      </c>
      <c r="H243" s="50">
        <v>1500</v>
      </c>
      <c r="I243" s="55">
        <v>300</v>
      </c>
      <c r="J243" s="49" t="s">
        <v>36</v>
      </c>
      <c r="K243" s="49" t="s">
        <v>37</v>
      </c>
    </row>
    <row r="244" spans="1:15" ht="15.75" customHeight="1">
      <c r="A244" s="49">
        <v>20</v>
      </c>
      <c r="B244" s="49" t="s">
        <v>1822</v>
      </c>
      <c r="C244" s="49" t="s">
        <v>227</v>
      </c>
      <c r="D244" s="49" t="s">
        <v>323</v>
      </c>
      <c r="E244" s="49" t="s">
        <v>232</v>
      </c>
      <c r="F244" s="49"/>
      <c r="G244" s="49" t="s">
        <v>35</v>
      </c>
      <c r="H244" s="50">
        <v>3000</v>
      </c>
      <c r="I244" s="55">
        <v>600</v>
      </c>
      <c r="J244" s="49" t="s">
        <v>36</v>
      </c>
      <c r="K244" s="49" t="s">
        <v>37</v>
      </c>
    </row>
    <row r="245" spans="1:15" ht="15.75" customHeight="1">
      <c r="A245" s="49">
        <v>20</v>
      </c>
      <c r="B245" s="49" t="s">
        <v>1823</v>
      </c>
      <c r="C245" s="49" t="s">
        <v>246</v>
      </c>
      <c r="D245" s="49" t="s">
        <v>323</v>
      </c>
      <c r="E245" s="49" t="s">
        <v>232</v>
      </c>
      <c r="F245" s="49"/>
      <c r="G245" s="49" t="s">
        <v>35</v>
      </c>
      <c r="H245" s="50">
        <v>4500</v>
      </c>
      <c r="I245" s="55">
        <v>900</v>
      </c>
      <c r="J245" s="49" t="s">
        <v>36</v>
      </c>
      <c r="K245" s="49" t="s">
        <v>37</v>
      </c>
    </row>
    <row r="246" spans="1:15" ht="15.75" customHeight="1">
      <c r="A246" s="49">
        <v>20</v>
      </c>
      <c r="B246" s="49" t="s">
        <v>1823</v>
      </c>
      <c r="C246" s="49" t="s">
        <v>246</v>
      </c>
      <c r="D246" s="49" t="s">
        <v>323</v>
      </c>
      <c r="E246" s="49" t="s">
        <v>232</v>
      </c>
      <c r="F246" s="49"/>
      <c r="G246" s="49" t="s">
        <v>120</v>
      </c>
      <c r="H246" s="50">
        <v>20</v>
      </c>
      <c r="I246" s="55">
        <v>200</v>
      </c>
      <c r="J246" s="49" t="s">
        <v>36</v>
      </c>
      <c r="K246" s="49" t="s">
        <v>37</v>
      </c>
    </row>
    <row r="247" spans="1:15" ht="15.75" customHeight="1">
      <c r="A247" s="49">
        <v>20</v>
      </c>
      <c r="B247" s="49" t="s">
        <v>1824</v>
      </c>
      <c r="C247" s="49" t="s">
        <v>227</v>
      </c>
      <c r="D247" s="49" t="s">
        <v>290</v>
      </c>
      <c r="E247" s="49" t="s">
        <v>232</v>
      </c>
      <c r="F247" s="49"/>
      <c r="G247" s="49" t="s">
        <v>35</v>
      </c>
      <c r="H247" s="50">
        <v>2000</v>
      </c>
      <c r="I247" s="55">
        <v>400</v>
      </c>
      <c r="J247" s="49" t="s">
        <v>36</v>
      </c>
      <c r="K247" s="49" t="s">
        <v>37</v>
      </c>
    </row>
    <row r="248" spans="1:15" ht="15.75" customHeight="1">
      <c r="A248" s="49">
        <v>20</v>
      </c>
      <c r="B248" s="49" t="s">
        <v>1825</v>
      </c>
      <c r="C248" s="49" t="s">
        <v>227</v>
      </c>
      <c r="D248" s="49" t="s">
        <v>1826</v>
      </c>
      <c r="E248" s="49" t="s">
        <v>323</v>
      </c>
      <c r="F248" s="49"/>
      <c r="G248" s="49" t="s">
        <v>120</v>
      </c>
      <c r="H248" s="50">
        <v>30</v>
      </c>
      <c r="I248" s="55">
        <v>300</v>
      </c>
      <c r="J248" s="49" t="s">
        <v>36</v>
      </c>
      <c r="K248" s="49" t="s">
        <v>37</v>
      </c>
    </row>
    <row r="249" spans="1:15" ht="15.75" customHeight="1">
      <c r="A249" s="49">
        <v>21</v>
      </c>
      <c r="B249" s="49" t="s">
        <v>1827</v>
      </c>
      <c r="C249" s="49" t="s">
        <v>227</v>
      </c>
      <c r="D249" s="49" t="s">
        <v>527</v>
      </c>
      <c r="E249" s="49" t="s">
        <v>199</v>
      </c>
      <c r="F249" s="49"/>
      <c r="G249" s="49" t="s">
        <v>35</v>
      </c>
      <c r="H249" s="50">
        <v>6000</v>
      </c>
      <c r="I249" s="55">
        <v>1200</v>
      </c>
      <c r="J249" s="49" t="s">
        <v>36</v>
      </c>
      <c r="K249" s="49" t="s">
        <v>37</v>
      </c>
      <c r="O249" s="4"/>
    </row>
    <row r="250" spans="1:15" ht="15.75" customHeight="1">
      <c r="A250" s="49">
        <v>21</v>
      </c>
      <c r="B250" s="49" t="s">
        <v>1828</v>
      </c>
      <c r="C250" s="49" t="s">
        <v>227</v>
      </c>
      <c r="D250" s="49" t="s">
        <v>297</v>
      </c>
      <c r="E250" s="49" t="s">
        <v>51</v>
      </c>
      <c r="F250" s="49"/>
      <c r="G250" s="49" t="s">
        <v>35</v>
      </c>
      <c r="H250" s="50">
        <v>500</v>
      </c>
      <c r="I250" s="55">
        <v>100</v>
      </c>
      <c r="J250" s="49" t="s">
        <v>36</v>
      </c>
      <c r="K250" s="49" t="s">
        <v>37</v>
      </c>
    </row>
    <row r="251" spans="1:15" ht="15.75" customHeight="1">
      <c r="A251" s="49">
        <v>21</v>
      </c>
      <c r="B251" s="49" t="s">
        <v>1829</v>
      </c>
      <c r="C251" s="49" t="s">
        <v>227</v>
      </c>
      <c r="D251" s="49" t="s">
        <v>277</v>
      </c>
      <c r="E251" s="49" t="s">
        <v>232</v>
      </c>
      <c r="F251" s="49"/>
      <c r="G251" s="49" t="s">
        <v>35</v>
      </c>
      <c r="H251" s="50">
        <v>2000</v>
      </c>
      <c r="I251" s="55">
        <v>400</v>
      </c>
      <c r="J251" s="49" t="s">
        <v>36</v>
      </c>
      <c r="K251" s="49" t="s">
        <v>37</v>
      </c>
    </row>
    <row r="252" spans="1:15" ht="15.75" customHeight="1">
      <c r="A252" s="49">
        <v>21</v>
      </c>
      <c r="B252" s="49" t="s">
        <v>1829</v>
      </c>
      <c r="C252" s="49" t="s">
        <v>227</v>
      </c>
      <c r="D252" s="49" t="s">
        <v>277</v>
      </c>
      <c r="E252" s="49" t="s">
        <v>232</v>
      </c>
      <c r="F252" s="49"/>
      <c r="G252" s="49" t="s">
        <v>35</v>
      </c>
      <c r="H252" s="50">
        <v>900</v>
      </c>
      <c r="I252" s="55">
        <v>270</v>
      </c>
      <c r="J252" s="49" t="s">
        <v>36</v>
      </c>
      <c r="K252" s="49" t="s">
        <v>37</v>
      </c>
    </row>
    <row r="253" spans="1:15" ht="15.75" customHeight="1">
      <c r="A253" s="49">
        <v>21</v>
      </c>
      <c r="B253" s="49" t="s">
        <v>1829</v>
      </c>
      <c r="C253" s="49" t="s">
        <v>227</v>
      </c>
      <c r="D253" s="49" t="s">
        <v>277</v>
      </c>
      <c r="E253" s="49" t="s">
        <v>232</v>
      </c>
      <c r="F253" s="49"/>
      <c r="G253" s="49" t="s">
        <v>120</v>
      </c>
      <c r="H253" s="50">
        <v>25</v>
      </c>
      <c r="I253" s="55">
        <v>250</v>
      </c>
      <c r="J253" s="49" t="s">
        <v>36</v>
      </c>
      <c r="K253" s="49" t="s">
        <v>37</v>
      </c>
    </row>
    <row r="254" spans="1:15" ht="15.75" customHeight="1">
      <c r="A254" s="49">
        <v>21</v>
      </c>
      <c r="B254" s="49" t="s">
        <v>1830</v>
      </c>
      <c r="C254" s="49" t="s">
        <v>246</v>
      </c>
      <c r="D254" s="49" t="s">
        <v>444</v>
      </c>
      <c r="E254" s="49" t="s">
        <v>235</v>
      </c>
      <c r="F254" s="49"/>
      <c r="G254" s="49" t="s">
        <v>35</v>
      </c>
      <c r="H254" s="50">
        <v>1000</v>
      </c>
      <c r="I254" s="55">
        <v>200</v>
      </c>
      <c r="J254" s="49" t="s">
        <v>36</v>
      </c>
      <c r="K254" s="49" t="s">
        <v>37</v>
      </c>
    </row>
    <row r="255" spans="1:15" ht="15.75" customHeight="1">
      <c r="A255" s="49">
        <v>21</v>
      </c>
      <c r="B255" s="49" t="s">
        <v>1831</v>
      </c>
      <c r="C255" s="49" t="s">
        <v>227</v>
      </c>
      <c r="D255" s="49" t="s">
        <v>323</v>
      </c>
      <c r="E255" s="49" t="s">
        <v>232</v>
      </c>
      <c r="F255" s="49"/>
      <c r="G255" s="49" t="s">
        <v>35</v>
      </c>
      <c r="H255" s="50">
        <v>1000</v>
      </c>
      <c r="I255" s="55">
        <v>200</v>
      </c>
      <c r="J255" s="49" t="s">
        <v>36</v>
      </c>
      <c r="K255" s="49" t="s">
        <v>37</v>
      </c>
    </row>
    <row r="256" spans="1:15" ht="15.75" customHeight="1">
      <c r="A256" s="49">
        <v>21</v>
      </c>
      <c r="B256" s="49" t="s">
        <v>1832</v>
      </c>
      <c r="C256" s="49" t="s">
        <v>227</v>
      </c>
      <c r="D256" s="49" t="s">
        <v>239</v>
      </c>
      <c r="E256" s="49" t="s">
        <v>232</v>
      </c>
      <c r="F256" s="49"/>
      <c r="G256" s="49" t="s">
        <v>120</v>
      </c>
      <c r="H256" s="50">
        <v>10</v>
      </c>
      <c r="I256" s="55">
        <v>100</v>
      </c>
      <c r="J256" s="49" t="s">
        <v>36</v>
      </c>
      <c r="K256" s="49" t="s">
        <v>37</v>
      </c>
    </row>
    <row r="257" spans="1:15" ht="15.75" customHeight="1">
      <c r="A257" s="49">
        <v>21</v>
      </c>
      <c r="B257" s="49" t="s">
        <v>1833</v>
      </c>
      <c r="C257" s="49" t="s">
        <v>246</v>
      </c>
      <c r="D257" s="49" t="s">
        <v>1237</v>
      </c>
      <c r="E257" s="49" t="s">
        <v>307</v>
      </c>
      <c r="F257" s="49"/>
      <c r="G257" s="49" t="s">
        <v>35</v>
      </c>
      <c r="H257" s="50">
        <v>1500</v>
      </c>
      <c r="I257" s="55">
        <v>300</v>
      </c>
      <c r="J257" s="49" t="s">
        <v>36</v>
      </c>
      <c r="K257" s="49" t="s">
        <v>37</v>
      </c>
    </row>
    <row r="258" spans="1:15" ht="15.75" customHeight="1">
      <c r="A258" s="49">
        <v>21</v>
      </c>
      <c r="B258" s="49" t="s">
        <v>1833</v>
      </c>
      <c r="C258" s="49" t="s">
        <v>246</v>
      </c>
      <c r="D258" s="49" t="s">
        <v>1237</v>
      </c>
      <c r="E258" s="49" t="s">
        <v>307</v>
      </c>
      <c r="F258" s="49"/>
      <c r="G258" s="49" t="s">
        <v>120</v>
      </c>
      <c r="H258" s="50">
        <v>10</v>
      </c>
      <c r="I258" s="55">
        <v>100</v>
      </c>
      <c r="J258" s="49" t="s">
        <v>36</v>
      </c>
      <c r="K258" s="49" t="s">
        <v>37</v>
      </c>
    </row>
    <row r="259" spans="1:15" ht="15.75" customHeight="1">
      <c r="A259" s="49">
        <v>21</v>
      </c>
      <c r="B259" s="49" t="s">
        <v>1834</v>
      </c>
      <c r="C259" s="49" t="s">
        <v>246</v>
      </c>
      <c r="D259" s="49" t="s">
        <v>385</v>
      </c>
      <c r="E259" s="49" t="s">
        <v>386</v>
      </c>
      <c r="F259" s="49"/>
      <c r="G259" s="49" t="s">
        <v>120</v>
      </c>
      <c r="H259" s="50">
        <v>15</v>
      </c>
      <c r="I259" s="55">
        <v>150</v>
      </c>
      <c r="J259" s="49" t="s">
        <v>36</v>
      </c>
      <c r="K259" s="49" t="s">
        <v>37</v>
      </c>
    </row>
    <row r="260" spans="1:15" ht="15.75" customHeight="1">
      <c r="A260" s="49">
        <v>22</v>
      </c>
      <c r="B260" s="49" t="s">
        <v>1835</v>
      </c>
      <c r="C260" s="49" t="s">
        <v>227</v>
      </c>
      <c r="D260" s="49" t="s">
        <v>1836</v>
      </c>
      <c r="E260" s="49" t="s">
        <v>335</v>
      </c>
      <c r="F260" s="49"/>
      <c r="G260" s="49" t="s">
        <v>35</v>
      </c>
      <c r="H260" s="50">
        <v>8000</v>
      </c>
      <c r="I260" s="55"/>
      <c r="J260" s="49" t="s">
        <v>43</v>
      </c>
      <c r="K260" s="49" t="s">
        <v>37</v>
      </c>
      <c r="O260" s="4"/>
    </row>
    <row r="261" spans="1:15" ht="15.75" customHeight="1">
      <c r="A261" s="49">
        <v>22</v>
      </c>
      <c r="B261" s="49" t="s">
        <v>1837</v>
      </c>
      <c r="C261" s="49" t="s">
        <v>227</v>
      </c>
      <c r="D261" s="49" t="s">
        <v>505</v>
      </c>
      <c r="E261" s="49" t="s">
        <v>235</v>
      </c>
      <c r="F261" s="49"/>
      <c r="G261" s="49" t="s">
        <v>35</v>
      </c>
      <c r="H261" s="50">
        <v>100</v>
      </c>
      <c r="I261" s="55">
        <v>20</v>
      </c>
      <c r="J261" s="49" t="s">
        <v>36</v>
      </c>
      <c r="K261" s="49" t="s">
        <v>37</v>
      </c>
    </row>
    <row r="262" spans="1:15" ht="15.75" customHeight="1">
      <c r="A262" s="49">
        <v>22</v>
      </c>
      <c r="B262" s="49" t="s">
        <v>1838</v>
      </c>
      <c r="C262" s="49" t="s">
        <v>246</v>
      </c>
      <c r="D262" s="49" t="s">
        <v>262</v>
      </c>
      <c r="E262" s="49" t="s">
        <v>232</v>
      </c>
      <c r="F262" s="49"/>
      <c r="G262" s="49" t="s">
        <v>35</v>
      </c>
      <c r="H262" s="50">
        <v>500</v>
      </c>
      <c r="I262" s="55"/>
      <c r="J262" s="49" t="s">
        <v>43</v>
      </c>
      <c r="K262" s="49" t="s">
        <v>37</v>
      </c>
    </row>
    <row r="263" spans="1:15" ht="15.75" customHeight="1">
      <c r="A263" s="49">
        <v>22</v>
      </c>
      <c r="B263" s="49" t="s">
        <v>1839</v>
      </c>
      <c r="C263" s="49" t="s">
        <v>227</v>
      </c>
      <c r="D263" s="49" t="s">
        <v>32</v>
      </c>
      <c r="E263" s="49" t="s">
        <v>321</v>
      </c>
      <c r="F263" s="49"/>
      <c r="G263" s="49" t="s">
        <v>35</v>
      </c>
      <c r="H263" s="50">
        <v>1500</v>
      </c>
      <c r="I263" s="55">
        <v>300</v>
      </c>
      <c r="J263" s="49" t="s">
        <v>36</v>
      </c>
      <c r="K263" s="49" t="s">
        <v>37</v>
      </c>
    </row>
    <row r="264" spans="1:15" ht="15.75" customHeight="1">
      <c r="A264" s="49">
        <v>22</v>
      </c>
      <c r="B264" s="49" t="s">
        <v>1840</v>
      </c>
      <c r="C264" s="49" t="s">
        <v>227</v>
      </c>
      <c r="D264" s="49" t="s">
        <v>1841</v>
      </c>
      <c r="E264" s="49" t="s">
        <v>80</v>
      </c>
      <c r="F264" s="49"/>
      <c r="G264" s="49" t="s">
        <v>35</v>
      </c>
      <c r="H264" s="50">
        <v>2000</v>
      </c>
      <c r="I264" s="55">
        <v>400</v>
      </c>
      <c r="J264" s="49" t="s">
        <v>36</v>
      </c>
      <c r="K264" s="49" t="s">
        <v>37</v>
      </c>
    </row>
    <row r="265" spans="1:15" ht="15.75" customHeight="1">
      <c r="A265" s="49">
        <v>22</v>
      </c>
      <c r="B265" s="49" t="s">
        <v>1842</v>
      </c>
      <c r="C265" s="49" t="s">
        <v>227</v>
      </c>
      <c r="D265" s="49" t="s">
        <v>33</v>
      </c>
      <c r="E265" s="49" t="s">
        <v>41</v>
      </c>
      <c r="F265" s="49"/>
      <c r="G265" s="49" t="s">
        <v>35</v>
      </c>
      <c r="H265" s="50">
        <v>1000</v>
      </c>
      <c r="I265" s="55">
        <v>200</v>
      </c>
      <c r="J265" s="49" t="s">
        <v>36</v>
      </c>
      <c r="K265" s="49" t="s">
        <v>37</v>
      </c>
    </row>
    <row r="266" spans="1:15" ht="15.75" customHeight="1">
      <c r="A266" s="49">
        <v>22</v>
      </c>
      <c r="B266" s="49" t="s">
        <v>1843</v>
      </c>
      <c r="C266" s="49" t="s">
        <v>227</v>
      </c>
      <c r="D266" s="49" t="s">
        <v>264</v>
      </c>
      <c r="E266" s="49" t="s">
        <v>184</v>
      </c>
      <c r="F266" s="49"/>
      <c r="G266" s="49" t="s">
        <v>35</v>
      </c>
      <c r="H266" s="50">
        <v>6000</v>
      </c>
      <c r="I266" s="55">
        <v>1200</v>
      </c>
      <c r="J266" s="49" t="s">
        <v>36</v>
      </c>
      <c r="K266" s="49" t="s">
        <v>37</v>
      </c>
    </row>
    <row r="267" spans="1:15" ht="15.75" customHeight="1">
      <c r="A267" s="49">
        <v>22</v>
      </c>
      <c r="B267" s="49" t="s">
        <v>1844</v>
      </c>
      <c r="C267" s="49" t="s">
        <v>227</v>
      </c>
      <c r="D267" s="49" t="s">
        <v>1219</v>
      </c>
      <c r="E267" s="49" t="s">
        <v>235</v>
      </c>
      <c r="F267" s="49"/>
      <c r="G267" s="49" t="s">
        <v>35</v>
      </c>
      <c r="H267" s="50">
        <v>200</v>
      </c>
      <c r="I267" s="55">
        <v>40</v>
      </c>
      <c r="J267" s="49" t="s">
        <v>36</v>
      </c>
      <c r="K267" s="49" t="s">
        <v>37</v>
      </c>
    </row>
    <row r="268" spans="1:15" ht="15.75" customHeight="1">
      <c r="A268" s="49">
        <v>23</v>
      </c>
      <c r="B268" s="49" t="s">
        <v>1845</v>
      </c>
      <c r="C268" s="49" t="s">
        <v>227</v>
      </c>
      <c r="D268" s="49" t="s">
        <v>495</v>
      </c>
      <c r="E268" s="49" t="s">
        <v>507</v>
      </c>
      <c r="F268" s="49"/>
      <c r="G268" s="49" t="s">
        <v>35</v>
      </c>
      <c r="H268" s="50">
        <v>300</v>
      </c>
      <c r="I268" s="55">
        <v>60</v>
      </c>
      <c r="J268" s="49" t="s">
        <v>36</v>
      </c>
      <c r="K268" s="49" t="s">
        <v>37</v>
      </c>
    </row>
    <row r="269" spans="1:15" ht="15.75" customHeight="1">
      <c r="A269" s="49">
        <v>23</v>
      </c>
      <c r="B269" s="49" t="s">
        <v>1846</v>
      </c>
      <c r="C269" s="49" t="s">
        <v>227</v>
      </c>
      <c r="D269" s="49" t="s">
        <v>33</v>
      </c>
      <c r="E269" s="49" t="s">
        <v>307</v>
      </c>
      <c r="F269" s="49"/>
      <c r="G269" s="49" t="s">
        <v>120</v>
      </c>
      <c r="H269" s="50">
        <v>20</v>
      </c>
      <c r="I269" s="55">
        <v>200</v>
      </c>
      <c r="J269" s="49" t="s">
        <v>36</v>
      </c>
      <c r="K269" s="49" t="s">
        <v>37</v>
      </c>
    </row>
    <row r="270" spans="1:15" ht="15.75" customHeight="1">
      <c r="A270" s="49">
        <v>23</v>
      </c>
      <c r="B270" s="49" t="s">
        <v>1847</v>
      </c>
      <c r="C270" s="49" t="s">
        <v>227</v>
      </c>
      <c r="D270" s="49" t="s">
        <v>446</v>
      </c>
      <c r="E270" s="49" t="s">
        <v>164</v>
      </c>
      <c r="F270" s="49"/>
      <c r="G270" s="49" t="s">
        <v>35</v>
      </c>
      <c r="H270" s="50">
        <v>10000</v>
      </c>
      <c r="I270" s="55">
        <v>2000</v>
      </c>
      <c r="J270" s="49" t="s">
        <v>36</v>
      </c>
      <c r="K270" s="49" t="s">
        <v>37</v>
      </c>
    </row>
    <row r="271" spans="1:15" ht="15.75" customHeight="1">
      <c r="A271" s="49">
        <v>23</v>
      </c>
      <c r="B271" s="49" t="s">
        <v>1848</v>
      </c>
      <c r="C271" s="49" t="s">
        <v>227</v>
      </c>
      <c r="D271" s="49" t="s">
        <v>323</v>
      </c>
      <c r="E271" s="49" t="s">
        <v>232</v>
      </c>
      <c r="F271" s="49"/>
      <c r="G271" s="49" t="s">
        <v>35</v>
      </c>
      <c r="H271" s="50">
        <v>500</v>
      </c>
      <c r="I271" s="55">
        <v>100</v>
      </c>
      <c r="J271" s="49" t="s">
        <v>36</v>
      </c>
      <c r="K271" s="49" t="s">
        <v>37</v>
      </c>
    </row>
    <row r="272" spans="1:15" ht="15.75" customHeight="1">
      <c r="A272" s="49">
        <v>23</v>
      </c>
      <c r="B272" s="49" t="s">
        <v>1848</v>
      </c>
      <c r="C272" s="49" t="s">
        <v>227</v>
      </c>
      <c r="D272" s="49" t="s">
        <v>323</v>
      </c>
      <c r="E272" s="49" t="s">
        <v>232</v>
      </c>
      <c r="F272" s="49"/>
      <c r="G272" s="49" t="s">
        <v>35</v>
      </c>
      <c r="H272" s="50">
        <v>500</v>
      </c>
      <c r="I272" s="55"/>
      <c r="J272" s="49" t="s">
        <v>43</v>
      </c>
      <c r="K272" s="49" t="s">
        <v>37</v>
      </c>
    </row>
    <row r="273" spans="1:15" ht="15.75" customHeight="1">
      <c r="A273" s="49">
        <v>23</v>
      </c>
      <c r="B273" s="49" t="s">
        <v>1849</v>
      </c>
      <c r="C273" s="49" t="s">
        <v>227</v>
      </c>
      <c r="D273" s="49" t="s">
        <v>1850</v>
      </c>
      <c r="E273" s="49" t="s">
        <v>164</v>
      </c>
      <c r="F273" s="49"/>
      <c r="G273" s="49" t="s">
        <v>35</v>
      </c>
      <c r="H273" s="50">
        <v>3000</v>
      </c>
      <c r="I273" s="55">
        <v>600</v>
      </c>
      <c r="J273" s="49" t="s">
        <v>36</v>
      </c>
      <c r="K273" s="49" t="s">
        <v>37</v>
      </c>
    </row>
    <row r="274" spans="1:15" ht="15.75" customHeight="1">
      <c r="A274" s="49">
        <v>23</v>
      </c>
      <c r="B274" s="49" t="s">
        <v>1851</v>
      </c>
      <c r="C274" s="49" t="s">
        <v>227</v>
      </c>
      <c r="D274" s="49" t="s">
        <v>1512</v>
      </c>
      <c r="E274" s="49" t="s">
        <v>321</v>
      </c>
      <c r="F274" s="49"/>
      <c r="G274" s="49" t="s">
        <v>35</v>
      </c>
      <c r="H274" s="50">
        <v>2000</v>
      </c>
      <c r="I274" s="55">
        <v>400</v>
      </c>
      <c r="J274" s="49" t="s">
        <v>36</v>
      </c>
      <c r="K274" s="49" t="s">
        <v>37</v>
      </c>
    </row>
    <row r="275" spans="1:15" ht="15.75" customHeight="1">
      <c r="A275" s="49">
        <v>23</v>
      </c>
      <c r="B275" s="49" t="s">
        <v>1851</v>
      </c>
      <c r="C275" s="49" t="s">
        <v>227</v>
      </c>
      <c r="D275" s="49" t="s">
        <v>1512</v>
      </c>
      <c r="E275" s="49" t="s">
        <v>321</v>
      </c>
      <c r="F275" s="49"/>
      <c r="G275" s="49" t="s">
        <v>35</v>
      </c>
      <c r="H275" s="50">
        <v>500</v>
      </c>
      <c r="I275" s="55"/>
      <c r="J275" s="49" t="s">
        <v>43</v>
      </c>
      <c r="K275" s="49" t="s">
        <v>37</v>
      </c>
    </row>
    <row r="276" spans="1:15" ht="15.75" customHeight="1">
      <c r="A276" s="49">
        <v>23</v>
      </c>
      <c r="B276" s="49" t="s">
        <v>1133</v>
      </c>
      <c r="C276" s="49" t="s">
        <v>227</v>
      </c>
      <c r="D276" s="49" t="s">
        <v>231</v>
      </c>
      <c r="E276" s="49" t="s">
        <v>232</v>
      </c>
      <c r="F276" s="49"/>
      <c r="G276" s="49" t="s">
        <v>35</v>
      </c>
      <c r="H276" s="50">
        <v>6000</v>
      </c>
      <c r="I276" s="55">
        <v>1200</v>
      </c>
      <c r="J276" s="49" t="s">
        <v>36</v>
      </c>
      <c r="K276" s="49" t="s">
        <v>37</v>
      </c>
      <c r="O276" s="4"/>
    </row>
    <row r="277" spans="1:15" ht="15.75" customHeight="1">
      <c r="A277" s="49">
        <v>24</v>
      </c>
      <c r="B277" s="49" t="s">
        <v>1852</v>
      </c>
      <c r="C277" s="49" t="s">
        <v>227</v>
      </c>
      <c r="D277" s="49" t="s">
        <v>392</v>
      </c>
      <c r="E277" s="49" t="s">
        <v>148</v>
      </c>
      <c r="F277" s="49"/>
      <c r="G277" s="49" t="s">
        <v>35</v>
      </c>
      <c r="H277" s="50">
        <v>1000</v>
      </c>
      <c r="I277" s="55">
        <v>200</v>
      </c>
      <c r="J277" s="49" t="s">
        <v>36</v>
      </c>
      <c r="K277" s="49" t="s">
        <v>37</v>
      </c>
    </row>
    <row r="278" spans="1:15" ht="15.75" customHeight="1">
      <c r="A278" s="49">
        <v>24</v>
      </c>
      <c r="B278" s="49" t="s">
        <v>1853</v>
      </c>
      <c r="C278" s="49" t="s">
        <v>227</v>
      </c>
      <c r="D278" s="49" t="s">
        <v>1367</v>
      </c>
      <c r="E278" s="49" t="s">
        <v>33</v>
      </c>
      <c r="F278" s="49"/>
      <c r="G278" s="49" t="s">
        <v>120</v>
      </c>
      <c r="H278" s="50">
        <v>70</v>
      </c>
      <c r="I278" s="55">
        <v>700</v>
      </c>
      <c r="J278" s="49" t="s">
        <v>36</v>
      </c>
      <c r="K278" s="49" t="s">
        <v>37</v>
      </c>
    </row>
    <row r="279" spans="1:15" ht="15.75" customHeight="1">
      <c r="A279" s="49">
        <v>24</v>
      </c>
      <c r="B279" s="49" t="s">
        <v>1854</v>
      </c>
      <c r="C279" s="49" t="s">
        <v>227</v>
      </c>
      <c r="D279" s="49" t="s">
        <v>1855</v>
      </c>
      <c r="E279" s="49" t="s">
        <v>307</v>
      </c>
      <c r="F279" s="49"/>
      <c r="G279" s="49" t="s">
        <v>35</v>
      </c>
      <c r="H279" s="50">
        <v>25000</v>
      </c>
      <c r="I279" s="55">
        <v>5000</v>
      </c>
      <c r="J279" s="49" t="s">
        <v>36</v>
      </c>
      <c r="K279" s="49" t="s">
        <v>37</v>
      </c>
    </row>
    <row r="280" spans="1:15" ht="15.75" customHeight="1">
      <c r="A280" s="49">
        <v>24</v>
      </c>
      <c r="B280" s="49" t="s">
        <v>1856</v>
      </c>
      <c r="C280" s="49" t="s">
        <v>227</v>
      </c>
      <c r="D280" s="49" t="s">
        <v>517</v>
      </c>
      <c r="E280" s="49" t="s">
        <v>232</v>
      </c>
      <c r="F280" s="49"/>
      <c r="G280" s="49" t="s">
        <v>35</v>
      </c>
      <c r="H280" s="50">
        <v>5000</v>
      </c>
      <c r="I280" s="55">
        <v>1000</v>
      </c>
      <c r="J280" s="49" t="s">
        <v>36</v>
      </c>
      <c r="K280" s="49" t="s">
        <v>37</v>
      </c>
    </row>
    <row r="281" spans="1:15" ht="15.75" customHeight="1">
      <c r="A281" s="49">
        <v>24</v>
      </c>
      <c r="B281" s="49" t="s">
        <v>1857</v>
      </c>
      <c r="C281" s="49" t="s">
        <v>227</v>
      </c>
      <c r="D281" s="49" t="s">
        <v>743</v>
      </c>
      <c r="E281" s="49" t="s">
        <v>48</v>
      </c>
      <c r="F281" s="49"/>
      <c r="G281" s="49" t="s">
        <v>35</v>
      </c>
      <c r="H281" s="50">
        <v>100</v>
      </c>
      <c r="I281" s="55">
        <v>30</v>
      </c>
      <c r="J281" s="49" t="s">
        <v>36</v>
      </c>
      <c r="K281" s="49" t="s">
        <v>37</v>
      </c>
    </row>
    <row r="282" spans="1:15" ht="15.75" customHeight="1">
      <c r="A282" s="49">
        <v>24</v>
      </c>
      <c r="B282" s="49" t="s">
        <v>1858</v>
      </c>
      <c r="C282" s="49" t="s">
        <v>227</v>
      </c>
      <c r="D282" s="49" t="s">
        <v>262</v>
      </c>
      <c r="E282" s="49" t="s">
        <v>232</v>
      </c>
      <c r="F282" s="49"/>
      <c r="G282" s="49" t="s">
        <v>35</v>
      </c>
      <c r="H282" s="50">
        <v>1000</v>
      </c>
      <c r="I282" s="55">
        <v>200</v>
      </c>
      <c r="J282" s="49" t="s">
        <v>36</v>
      </c>
      <c r="K282" s="49" t="s">
        <v>37</v>
      </c>
    </row>
    <row r="283" spans="1:15" ht="15.75" customHeight="1">
      <c r="A283" s="49">
        <v>24</v>
      </c>
      <c r="B283" s="49" t="s">
        <v>1858</v>
      </c>
      <c r="C283" s="49" t="s">
        <v>227</v>
      </c>
      <c r="D283" s="49" t="s">
        <v>262</v>
      </c>
      <c r="E283" s="49" t="s">
        <v>232</v>
      </c>
      <c r="F283" s="49"/>
      <c r="G283" s="49" t="s">
        <v>35</v>
      </c>
      <c r="H283" s="50">
        <v>500</v>
      </c>
      <c r="I283" s="55"/>
      <c r="J283" s="49" t="s">
        <v>43</v>
      </c>
      <c r="K283" s="49" t="s">
        <v>37</v>
      </c>
    </row>
    <row r="284" spans="1:15" ht="15.75" customHeight="1">
      <c r="A284" s="49">
        <v>24</v>
      </c>
      <c r="B284" s="49" t="s">
        <v>1859</v>
      </c>
      <c r="C284" s="49" t="s">
        <v>227</v>
      </c>
      <c r="D284" s="49" t="s">
        <v>262</v>
      </c>
      <c r="E284" s="49" t="s">
        <v>232</v>
      </c>
      <c r="F284" s="49"/>
      <c r="G284" s="49" t="s">
        <v>35</v>
      </c>
      <c r="H284" s="50">
        <v>1500</v>
      </c>
      <c r="I284" s="55">
        <v>300</v>
      </c>
      <c r="J284" s="49" t="s">
        <v>36</v>
      </c>
      <c r="K284" s="49" t="s">
        <v>37</v>
      </c>
    </row>
    <row r="285" spans="1:15" ht="15.75" customHeight="1">
      <c r="A285" s="49">
        <v>24</v>
      </c>
      <c r="B285" s="49" t="s">
        <v>1859</v>
      </c>
      <c r="C285" s="49" t="s">
        <v>227</v>
      </c>
      <c r="D285" s="49" t="s">
        <v>262</v>
      </c>
      <c r="E285" s="49" t="s">
        <v>232</v>
      </c>
      <c r="F285" s="49"/>
      <c r="G285" s="49" t="s">
        <v>35</v>
      </c>
      <c r="H285" s="50">
        <v>500</v>
      </c>
      <c r="I285" s="55"/>
      <c r="J285" s="49" t="s">
        <v>43</v>
      </c>
      <c r="K285" s="49" t="s">
        <v>37</v>
      </c>
    </row>
    <row r="286" spans="1:15" ht="15.75" customHeight="1">
      <c r="A286" s="49">
        <v>24</v>
      </c>
      <c r="B286" s="49" t="s">
        <v>1860</v>
      </c>
      <c r="C286" s="49" t="s">
        <v>246</v>
      </c>
      <c r="D286" s="49" t="s">
        <v>231</v>
      </c>
      <c r="E286" s="49" t="s">
        <v>232</v>
      </c>
      <c r="F286" s="49"/>
      <c r="G286" s="49" t="s">
        <v>35</v>
      </c>
      <c r="H286" s="50">
        <v>1000</v>
      </c>
      <c r="I286" s="55">
        <v>200</v>
      </c>
      <c r="J286" s="49" t="s">
        <v>36</v>
      </c>
      <c r="K286" s="49" t="s">
        <v>37</v>
      </c>
    </row>
    <row r="287" spans="1:15" ht="15.75" customHeight="1">
      <c r="A287" s="49">
        <v>24</v>
      </c>
      <c r="B287" s="49" t="s">
        <v>1860</v>
      </c>
      <c r="C287" s="49" t="s">
        <v>246</v>
      </c>
      <c r="D287" s="49" t="s">
        <v>231</v>
      </c>
      <c r="E287" s="49" t="s">
        <v>232</v>
      </c>
      <c r="F287" s="49"/>
      <c r="G287" s="49" t="s">
        <v>35</v>
      </c>
      <c r="H287" s="50">
        <v>500</v>
      </c>
      <c r="I287" s="55"/>
      <c r="J287" s="49" t="s">
        <v>43</v>
      </c>
      <c r="K287" s="49" t="s">
        <v>37</v>
      </c>
    </row>
    <row r="288" spans="1:15" ht="15.75" customHeight="1">
      <c r="A288" s="49">
        <v>24</v>
      </c>
      <c r="B288" s="49" t="s">
        <v>1861</v>
      </c>
      <c r="C288" s="49" t="s">
        <v>227</v>
      </c>
      <c r="D288" s="49" t="s">
        <v>864</v>
      </c>
      <c r="E288" s="49" t="s">
        <v>507</v>
      </c>
      <c r="F288" s="49"/>
      <c r="G288" s="49" t="s">
        <v>35</v>
      </c>
      <c r="H288" s="50">
        <v>1500</v>
      </c>
      <c r="I288" s="55">
        <v>300</v>
      </c>
      <c r="J288" s="49" t="s">
        <v>36</v>
      </c>
      <c r="K288" s="49" t="s">
        <v>37</v>
      </c>
    </row>
    <row r="289" spans="1:11" ht="15.75" customHeight="1">
      <c r="A289" s="49">
        <v>24</v>
      </c>
      <c r="B289" s="49" t="s">
        <v>1862</v>
      </c>
      <c r="C289" s="49" t="s">
        <v>227</v>
      </c>
      <c r="D289" s="49" t="s">
        <v>864</v>
      </c>
      <c r="E289" s="49" t="s">
        <v>507</v>
      </c>
      <c r="F289" s="49"/>
      <c r="G289" s="49" t="s">
        <v>35</v>
      </c>
      <c r="H289" s="50">
        <v>2500</v>
      </c>
      <c r="I289" s="55">
        <v>500</v>
      </c>
      <c r="J289" s="49" t="s">
        <v>36</v>
      </c>
      <c r="K289" s="49" t="s">
        <v>37</v>
      </c>
    </row>
    <row r="290" spans="1:11" ht="15.75" customHeight="1">
      <c r="A290" s="49">
        <v>24</v>
      </c>
      <c r="B290" s="49" t="s">
        <v>1863</v>
      </c>
      <c r="C290" s="49" t="s">
        <v>227</v>
      </c>
      <c r="D290" s="49" t="s">
        <v>1864</v>
      </c>
      <c r="E290" s="49" t="s">
        <v>1865</v>
      </c>
      <c r="F290" s="49"/>
      <c r="G290" s="49" t="s">
        <v>35</v>
      </c>
      <c r="H290" s="50">
        <v>3000</v>
      </c>
      <c r="I290" s="55">
        <v>600</v>
      </c>
      <c r="J290" s="49" t="s">
        <v>36</v>
      </c>
      <c r="K290" s="49" t="s">
        <v>37</v>
      </c>
    </row>
    <row r="291" spans="1:11" ht="15.75" customHeight="1">
      <c r="A291" s="49">
        <v>24</v>
      </c>
      <c r="B291" s="49" t="s">
        <v>1863</v>
      </c>
      <c r="C291" s="49" t="s">
        <v>227</v>
      </c>
      <c r="D291" s="49" t="s">
        <v>1864</v>
      </c>
      <c r="E291" s="49" t="s">
        <v>1865</v>
      </c>
      <c r="F291" s="49"/>
      <c r="G291" s="49" t="s">
        <v>86</v>
      </c>
      <c r="H291" s="50">
        <v>100</v>
      </c>
      <c r="I291" s="55">
        <v>60</v>
      </c>
      <c r="J291" s="49" t="s">
        <v>36</v>
      </c>
      <c r="K291" s="49" t="s">
        <v>37</v>
      </c>
    </row>
    <row r="292" spans="1:11" ht="15.75" customHeight="1">
      <c r="A292" s="49">
        <v>24</v>
      </c>
      <c r="B292" s="49" t="s">
        <v>1106</v>
      </c>
      <c r="C292" s="49" t="s">
        <v>227</v>
      </c>
      <c r="D292" s="49" t="s">
        <v>1030</v>
      </c>
      <c r="E292" s="49" t="s">
        <v>251</v>
      </c>
      <c r="F292" s="49"/>
      <c r="G292" s="49" t="s">
        <v>120</v>
      </c>
      <c r="H292" s="50">
        <v>15</v>
      </c>
      <c r="I292" s="55">
        <v>150</v>
      </c>
      <c r="J292" s="49" t="s">
        <v>36</v>
      </c>
      <c r="K292" s="49" t="s">
        <v>37</v>
      </c>
    </row>
    <row r="293" spans="1:11" ht="15.75" customHeight="1">
      <c r="A293" s="49">
        <v>25</v>
      </c>
      <c r="B293" s="49" t="s">
        <v>1866</v>
      </c>
      <c r="C293" s="49" t="s">
        <v>227</v>
      </c>
      <c r="D293" s="49" t="s">
        <v>394</v>
      </c>
      <c r="E293" s="49" t="s">
        <v>232</v>
      </c>
      <c r="F293" s="49"/>
      <c r="G293" s="49" t="s">
        <v>35</v>
      </c>
      <c r="H293" s="50">
        <v>1000</v>
      </c>
      <c r="I293" s="55">
        <v>200</v>
      </c>
      <c r="J293" s="49" t="s">
        <v>36</v>
      </c>
      <c r="K293" s="49" t="s">
        <v>37</v>
      </c>
    </row>
    <row r="294" spans="1:11" ht="15.75" customHeight="1">
      <c r="A294" s="49">
        <v>25</v>
      </c>
      <c r="B294" s="49" t="s">
        <v>1867</v>
      </c>
      <c r="C294" s="49" t="s">
        <v>227</v>
      </c>
      <c r="D294" s="49" t="s">
        <v>297</v>
      </c>
      <c r="E294" s="49" t="s">
        <v>51</v>
      </c>
      <c r="F294" s="49"/>
      <c r="G294" s="49" t="s">
        <v>35</v>
      </c>
      <c r="H294" s="50">
        <v>1500</v>
      </c>
      <c r="I294" s="55">
        <v>300</v>
      </c>
      <c r="J294" s="49" t="s">
        <v>36</v>
      </c>
      <c r="K294" s="49" t="s">
        <v>37</v>
      </c>
    </row>
    <row r="295" spans="1:11" ht="15.75" customHeight="1">
      <c r="A295" s="49">
        <v>25</v>
      </c>
      <c r="B295" s="49" t="s">
        <v>1868</v>
      </c>
      <c r="C295" s="49" t="s">
        <v>227</v>
      </c>
      <c r="D295" s="49" t="s">
        <v>33</v>
      </c>
      <c r="E295" s="49" t="s">
        <v>199</v>
      </c>
      <c r="F295" s="49"/>
      <c r="G295" s="49" t="s">
        <v>35</v>
      </c>
      <c r="H295" s="50">
        <v>1500</v>
      </c>
      <c r="I295" s="55">
        <v>300</v>
      </c>
      <c r="J295" s="49" t="s">
        <v>36</v>
      </c>
      <c r="K295" s="49" t="s">
        <v>37</v>
      </c>
    </row>
    <row r="296" spans="1:11" ht="15.75" customHeight="1">
      <c r="A296" s="49">
        <v>25</v>
      </c>
      <c r="B296" s="49" t="s">
        <v>1869</v>
      </c>
      <c r="C296" s="49" t="s">
        <v>227</v>
      </c>
      <c r="D296" s="49" t="s">
        <v>277</v>
      </c>
      <c r="E296" s="49" t="s">
        <v>232</v>
      </c>
      <c r="F296" s="49"/>
      <c r="G296" s="49" t="s">
        <v>35</v>
      </c>
      <c r="H296" s="50">
        <v>2000</v>
      </c>
      <c r="I296" s="55">
        <v>400</v>
      </c>
      <c r="J296" s="49" t="s">
        <v>36</v>
      </c>
      <c r="K296" s="49" t="s">
        <v>37</v>
      </c>
    </row>
    <row r="297" spans="1:11" ht="15.75" customHeight="1">
      <c r="A297" s="49">
        <v>25</v>
      </c>
      <c r="B297" s="49" t="s">
        <v>1870</v>
      </c>
      <c r="C297" s="49" t="s">
        <v>246</v>
      </c>
      <c r="D297" s="49" t="s">
        <v>323</v>
      </c>
      <c r="E297" s="49" t="s">
        <v>232</v>
      </c>
      <c r="F297" s="49"/>
      <c r="G297" s="49" t="s">
        <v>35</v>
      </c>
      <c r="H297" s="50">
        <v>2000</v>
      </c>
      <c r="I297" s="55">
        <v>400</v>
      </c>
      <c r="J297" s="49" t="s">
        <v>36</v>
      </c>
      <c r="K297" s="49" t="s">
        <v>37</v>
      </c>
    </row>
    <row r="298" spans="1:11" ht="15.75" customHeight="1">
      <c r="A298" s="49">
        <v>25</v>
      </c>
      <c r="B298" s="49" t="s">
        <v>1870</v>
      </c>
      <c r="C298" s="49" t="s">
        <v>246</v>
      </c>
      <c r="D298" s="49" t="s">
        <v>323</v>
      </c>
      <c r="E298" s="49" t="s">
        <v>232</v>
      </c>
      <c r="F298" s="49"/>
      <c r="G298" s="49" t="s">
        <v>35</v>
      </c>
      <c r="H298" s="50">
        <v>500</v>
      </c>
      <c r="I298" s="55"/>
      <c r="J298" s="49" t="s">
        <v>36</v>
      </c>
      <c r="K298" s="49" t="s">
        <v>37</v>
      </c>
    </row>
    <row r="299" spans="1:11" ht="15.75" customHeight="1">
      <c r="A299" s="49">
        <v>25</v>
      </c>
      <c r="B299" s="49" t="s">
        <v>714</v>
      </c>
      <c r="C299" s="49" t="s">
        <v>227</v>
      </c>
      <c r="D299" s="49" t="s">
        <v>290</v>
      </c>
      <c r="E299" s="49" t="s">
        <v>232</v>
      </c>
      <c r="F299" s="49"/>
      <c r="G299" s="49" t="s">
        <v>35</v>
      </c>
      <c r="H299" s="50">
        <v>8800</v>
      </c>
      <c r="I299" s="55">
        <v>1760</v>
      </c>
      <c r="J299" s="49" t="s">
        <v>36</v>
      </c>
      <c r="K299" s="49" t="s">
        <v>37</v>
      </c>
    </row>
    <row r="300" spans="1:11" ht="15.75" customHeight="1">
      <c r="A300" s="49">
        <v>25</v>
      </c>
      <c r="B300" s="49" t="s">
        <v>714</v>
      </c>
      <c r="C300" s="49" t="s">
        <v>227</v>
      </c>
      <c r="D300" s="49" t="s">
        <v>290</v>
      </c>
      <c r="E300" s="49" t="s">
        <v>232</v>
      </c>
      <c r="F300" s="49"/>
      <c r="G300" s="49" t="s">
        <v>86</v>
      </c>
      <c r="H300" s="50">
        <v>100</v>
      </c>
      <c r="I300" s="55">
        <v>60</v>
      </c>
      <c r="J300" s="49" t="s">
        <v>36</v>
      </c>
      <c r="K300" s="49" t="s">
        <v>37</v>
      </c>
    </row>
    <row r="301" spans="1:11" ht="15.75" customHeight="1">
      <c r="A301" s="49">
        <v>25</v>
      </c>
      <c r="B301" s="49" t="s">
        <v>1871</v>
      </c>
      <c r="C301" s="49" t="s">
        <v>227</v>
      </c>
      <c r="D301" s="49" t="s">
        <v>947</v>
      </c>
      <c r="E301" s="49" t="s">
        <v>164</v>
      </c>
      <c r="F301" s="49"/>
      <c r="G301" s="49" t="s">
        <v>35</v>
      </c>
      <c r="H301" s="50">
        <v>5000</v>
      </c>
      <c r="I301" s="55">
        <v>1000</v>
      </c>
      <c r="J301" s="49" t="s">
        <v>36</v>
      </c>
      <c r="K301" s="49" t="s">
        <v>37</v>
      </c>
    </row>
    <row r="302" spans="1:11" ht="15.75" customHeight="1">
      <c r="A302" s="49">
        <v>25</v>
      </c>
      <c r="B302" s="49" t="s">
        <v>1872</v>
      </c>
      <c r="C302" s="49" t="s">
        <v>227</v>
      </c>
      <c r="D302" s="49" t="s">
        <v>740</v>
      </c>
      <c r="E302" s="49" t="s">
        <v>199</v>
      </c>
      <c r="F302" s="49"/>
      <c r="G302" s="49" t="s">
        <v>120</v>
      </c>
      <c r="H302" s="50">
        <v>25</v>
      </c>
      <c r="I302" s="55">
        <v>250</v>
      </c>
      <c r="J302" s="49" t="s">
        <v>36</v>
      </c>
      <c r="K302" s="49" t="s">
        <v>37</v>
      </c>
    </row>
    <row r="303" spans="1:11" ht="15.75" customHeight="1">
      <c r="A303" s="49">
        <v>25</v>
      </c>
      <c r="B303" s="49" t="s">
        <v>1873</v>
      </c>
      <c r="C303" s="49" t="s">
        <v>227</v>
      </c>
      <c r="D303" s="49" t="s">
        <v>1874</v>
      </c>
      <c r="E303" s="49" t="s">
        <v>251</v>
      </c>
      <c r="F303" s="49"/>
      <c r="G303" s="49" t="s">
        <v>35</v>
      </c>
      <c r="H303" s="50">
        <v>200</v>
      </c>
      <c r="I303" s="55">
        <v>40</v>
      </c>
      <c r="J303" s="49" t="s">
        <v>36</v>
      </c>
      <c r="K303" s="49" t="s">
        <v>37</v>
      </c>
    </row>
    <row r="304" spans="1:11" ht="15.75" customHeight="1">
      <c r="A304" s="49">
        <v>25</v>
      </c>
      <c r="B304" s="49" t="s">
        <v>1875</v>
      </c>
      <c r="C304" s="49" t="s">
        <v>227</v>
      </c>
      <c r="D304" s="49" t="s">
        <v>1249</v>
      </c>
      <c r="E304" s="49" t="s">
        <v>251</v>
      </c>
      <c r="F304" s="49"/>
      <c r="G304" s="49" t="s">
        <v>120</v>
      </c>
      <c r="H304" s="50">
        <v>10</v>
      </c>
      <c r="I304" s="55">
        <v>100</v>
      </c>
      <c r="J304" s="49" t="s">
        <v>36</v>
      </c>
      <c r="K304" s="49" t="s">
        <v>37</v>
      </c>
    </row>
    <row r="305" spans="1:15" ht="15.75" customHeight="1">
      <c r="A305" s="49">
        <v>25</v>
      </c>
      <c r="B305" s="49" t="s">
        <v>1875</v>
      </c>
      <c r="C305" s="49" t="s">
        <v>227</v>
      </c>
      <c r="D305" s="49" t="s">
        <v>1249</v>
      </c>
      <c r="E305" s="49" t="s">
        <v>251</v>
      </c>
      <c r="F305" s="49"/>
      <c r="G305" s="49" t="s">
        <v>273</v>
      </c>
      <c r="H305" s="50">
        <v>5</v>
      </c>
      <c r="I305" s="55">
        <v>15</v>
      </c>
      <c r="J305" s="49" t="s">
        <v>36</v>
      </c>
      <c r="K305" s="49" t="s">
        <v>37</v>
      </c>
    </row>
    <row r="306" spans="1:15" ht="15.75" customHeight="1">
      <c r="A306" s="49">
        <v>25</v>
      </c>
      <c r="B306" s="49" t="s">
        <v>1876</v>
      </c>
      <c r="C306" s="49" t="s">
        <v>227</v>
      </c>
      <c r="D306" s="49" t="s">
        <v>1249</v>
      </c>
      <c r="E306" s="49" t="s">
        <v>251</v>
      </c>
      <c r="F306" s="49"/>
      <c r="G306" s="49" t="s">
        <v>120</v>
      </c>
      <c r="H306" s="50">
        <v>20</v>
      </c>
      <c r="I306" s="55">
        <v>200</v>
      </c>
      <c r="J306" s="49" t="s">
        <v>36</v>
      </c>
      <c r="K306" s="49" t="s">
        <v>37</v>
      </c>
    </row>
    <row r="307" spans="1:15" ht="15.75" customHeight="1">
      <c r="A307" s="49">
        <v>26</v>
      </c>
      <c r="B307" s="49" t="s">
        <v>1877</v>
      </c>
      <c r="C307" s="49" t="s">
        <v>227</v>
      </c>
      <c r="D307" s="49" t="s">
        <v>365</v>
      </c>
      <c r="E307" s="49" t="s">
        <v>232</v>
      </c>
      <c r="F307" s="49"/>
      <c r="G307" s="49" t="s">
        <v>35</v>
      </c>
      <c r="H307" s="50">
        <v>200</v>
      </c>
      <c r="I307" s="55">
        <v>40</v>
      </c>
      <c r="J307" s="49" t="s">
        <v>36</v>
      </c>
      <c r="K307" s="49" t="s">
        <v>37</v>
      </c>
    </row>
    <row r="308" spans="1:15" ht="15.75" customHeight="1">
      <c r="A308" s="49">
        <v>26</v>
      </c>
      <c r="B308" s="49" t="s">
        <v>1877</v>
      </c>
      <c r="C308" s="49" t="s">
        <v>227</v>
      </c>
      <c r="D308" s="49" t="s">
        <v>365</v>
      </c>
      <c r="E308" s="49" t="s">
        <v>232</v>
      </c>
      <c r="F308" s="49"/>
      <c r="G308" s="49" t="s">
        <v>86</v>
      </c>
      <c r="H308" s="50">
        <v>250</v>
      </c>
      <c r="I308" s="55">
        <v>150</v>
      </c>
      <c r="J308" s="49" t="s">
        <v>36</v>
      </c>
      <c r="K308" s="49" t="s">
        <v>37</v>
      </c>
    </row>
    <row r="309" spans="1:15" ht="15.75" customHeight="1">
      <c r="A309" s="49">
        <v>26</v>
      </c>
      <c r="B309" s="49" t="s">
        <v>1877</v>
      </c>
      <c r="C309" s="49" t="s">
        <v>227</v>
      </c>
      <c r="D309" s="49" t="s">
        <v>365</v>
      </c>
      <c r="E309" s="49" t="s">
        <v>232</v>
      </c>
      <c r="F309" s="49"/>
      <c r="G309" s="49" t="s">
        <v>120</v>
      </c>
      <c r="H309" s="50">
        <v>10</v>
      </c>
      <c r="I309" s="55">
        <v>100</v>
      </c>
      <c r="J309" s="49" t="s">
        <v>36</v>
      </c>
      <c r="K309" s="49" t="s">
        <v>37</v>
      </c>
    </row>
    <row r="310" spans="1:15" ht="15.75" customHeight="1">
      <c r="A310" s="49">
        <v>26</v>
      </c>
      <c r="B310" s="49" t="s">
        <v>1878</v>
      </c>
      <c r="C310" s="49" t="s">
        <v>227</v>
      </c>
      <c r="D310" s="49" t="s">
        <v>396</v>
      </c>
      <c r="E310" s="49" t="s">
        <v>48</v>
      </c>
      <c r="F310" s="49"/>
      <c r="G310" s="49" t="s">
        <v>35</v>
      </c>
      <c r="H310" s="50">
        <v>100</v>
      </c>
      <c r="I310" s="55">
        <v>20</v>
      </c>
      <c r="J310" s="49" t="s">
        <v>36</v>
      </c>
      <c r="K310" s="49" t="s">
        <v>37</v>
      </c>
    </row>
    <row r="311" spans="1:15" ht="15.75" customHeight="1">
      <c r="A311" s="49">
        <v>26</v>
      </c>
      <c r="B311" s="49" t="s">
        <v>1878</v>
      </c>
      <c r="C311" s="49" t="s">
        <v>227</v>
      </c>
      <c r="D311" s="49" t="s">
        <v>396</v>
      </c>
      <c r="E311" s="49" t="s">
        <v>48</v>
      </c>
      <c r="F311" s="49"/>
      <c r="G311" s="49" t="s">
        <v>86</v>
      </c>
      <c r="H311" s="50">
        <v>200</v>
      </c>
      <c r="I311" s="55">
        <v>120</v>
      </c>
      <c r="J311" s="49" t="s">
        <v>36</v>
      </c>
      <c r="K311" s="49" t="s">
        <v>37</v>
      </c>
    </row>
    <row r="312" spans="1:15" ht="15.75" customHeight="1">
      <c r="A312" s="49">
        <v>26</v>
      </c>
      <c r="B312" s="49" t="s">
        <v>1879</v>
      </c>
      <c r="C312" s="49" t="s">
        <v>227</v>
      </c>
      <c r="D312" s="49" t="s">
        <v>32</v>
      </c>
      <c r="E312" s="49" t="s">
        <v>51</v>
      </c>
      <c r="F312" s="49"/>
      <c r="G312" s="49" t="s">
        <v>35</v>
      </c>
      <c r="H312" s="50">
        <v>1000</v>
      </c>
      <c r="I312" s="55">
        <v>200</v>
      </c>
      <c r="J312" s="49" t="s">
        <v>36</v>
      </c>
      <c r="K312" s="49" t="s">
        <v>37</v>
      </c>
    </row>
    <row r="313" spans="1:15" ht="15.75" customHeight="1">
      <c r="A313" s="49">
        <v>26</v>
      </c>
      <c r="B313" s="49" t="s">
        <v>1880</v>
      </c>
      <c r="C313" s="49" t="s">
        <v>227</v>
      </c>
      <c r="D313" s="49" t="s">
        <v>198</v>
      </c>
      <c r="E313" s="49" t="s">
        <v>152</v>
      </c>
      <c r="F313" s="49"/>
      <c r="G313" s="49" t="s">
        <v>35</v>
      </c>
      <c r="H313" s="50">
        <v>1000</v>
      </c>
      <c r="I313" s="55">
        <v>200</v>
      </c>
      <c r="J313" s="49" t="s">
        <v>36</v>
      </c>
      <c r="K313" s="49" t="s">
        <v>37</v>
      </c>
    </row>
    <row r="314" spans="1:15" ht="15.75" customHeight="1">
      <c r="A314" s="49">
        <v>26</v>
      </c>
      <c r="B314" s="49" t="s">
        <v>1880</v>
      </c>
      <c r="C314" s="49" t="s">
        <v>227</v>
      </c>
      <c r="D314" s="49" t="s">
        <v>198</v>
      </c>
      <c r="E314" s="49" t="s">
        <v>152</v>
      </c>
      <c r="F314" s="49"/>
      <c r="G314" s="49" t="s">
        <v>86</v>
      </c>
      <c r="H314" s="50">
        <v>100</v>
      </c>
      <c r="I314" s="55">
        <v>60</v>
      </c>
      <c r="J314" s="49" t="s">
        <v>36</v>
      </c>
      <c r="K314" s="49" t="s">
        <v>37</v>
      </c>
    </row>
    <row r="315" spans="1:15" ht="15.75" customHeight="1">
      <c r="A315" s="49">
        <v>26</v>
      </c>
      <c r="B315" s="49" t="s">
        <v>1881</v>
      </c>
      <c r="C315" s="49" t="s">
        <v>227</v>
      </c>
      <c r="D315" s="49" t="s">
        <v>556</v>
      </c>
      <c r="E315" s="49" t="s">
        <v>232</v>
      </c>
      <c r="F315" s="49"/>
      <c r="G315" s="49" t="s">
        <v>35</v>
      </c>
      <c r="H315" s="50">
        <v>2000</v>
      </c>
      <c r="I315" s="55">
        <v>400</v>
      </c>
      <c r="J315" s="49" t="s">
        <v>36</v>
      </c>
      <c r="K315" s="49" t="s">
        <v>37</v>
      </c>
    </row>
    <row r="316" spans="1:15" ht="15.75" customHeight="1">
      <c r="A316" s="49">
        <v>26</v>
      </c>
      <c r="B316" s="49" t="s">
        <v>1065</v>
      </c>
      <c r="C316" s="49" t="s">
        <v>246</v>
      </c>
      <c r="D316" s="49" t="s">
        <v>32</v>
      </c>
      <c r="E316" s="49" t="s">
        <v>33</v>
      </c>
      <c r="F316" s="49"/>
      <c r="G316" s="49" t="s">
        <v>120</v>
      </c>
      <c r="H316" s="50">
        <v>25</v>
      </c>
      <c r="I316" s="55">
        <v>250</v>
      </c>
      <c r="J316" s="49" t="s">
        <v>36</v>
      </c>
      <c r="K316" s="49" t="s">
        <v>37</v>
      </c>
    </row>
    <row r="317" spans="1:15" ht="15.75" customHeight="1">
      <c r="A317" s="49">
        <v>26</v>
      </c>
      <c r="B317" s="49" t="s">
        <v>1065</v>
      </c>
      <c r="C317" s="49" t="s">
        <v>246</v>
      </c>
      <c r="D317" s="49" t="s">
        <v>32</v>
      </c>
      <c r="E317" s="49" t="s">
        <v>33</v>
      </c>
      <c r="F317" s="49"/>
      <c r="G317" s="49" t="s">
        <v>242</v>
      </c>
      <c r="H317" s="50">
        <v>60</v>
      </c>
      <c r="I317" s="55">
        <v>180</v>
      </c>
      <c r="J317" s="49" t="s">
        <v>36</v>
      </c>
      <c r="K317" s="49" t="s">
        <v>37</v>
      </c>
    </row>
    <row r="318" spans="1:15" ht="15.75" customHeight="1">
      <c r="A318" s="49">
        <v>26</v>
      </c>
      <c r="B318" s="49" t="s">
        <v>1882</v>
      </c>
      <c r="C318" s="49" t="s">
        <v>227</v>
      </c>
      <c r="D318" s="49" t="s">
        <v>1883</v>
      </c>
      <c r="E318" s="49" t="s">
        <v>1884</v>
      </c>
      <c r="F318" s="49"/>
      <c r="G318" s="49" t="s">
        <v>35</v>
      </c>
      <c r="H318" s="50">
        <v>1000</v>
      </c>
      <c r="I318" s="55">
        <v>200</v>
      </c>
      <c r="J318" s="49" t="s">
        <v>36</v>
      </c>
      <c r="K318" s="49" t="s">
        <v>37</v>
      </c>
    </row>
    <row r="319" spans="1:15" ht="15.75" customHeight="1">
      <c r="A319" s="49">
        <v>26</v>
      </c>
      <c r="B319" s="49" t="s">
        <v>1885</v>
      </c>
      <c r="C319" s="49" t="s">
        <v>227</v>
      </c>
      <c r="D319" s="49" t="s">
        <v>1886</v>
      </c>
      <c r="E319" s="49" t="s">
        <v>202</v>
      </c>
      <c r="F319" s="49"/>
      <c r="G319" s="49" t="s">
        <v>35</v>
      </c>
      <c r="H319" s="50">
        <v>14000</v>
      </c>
      <c r="I319" s="55"/>
      <c r="J319" s="49" t="s">
        <v>43</v>
      </c>
      <c r="K319" s="49" t="s">
        <v>37</v>
      </c>
      <c r="O319" s="4"/>
    </row>
    <row r="320" spans="1:15" ht="15.75" customHeight="1">
      <c r="A320" s="49">
        <v>27</v>
      </c>
      <c r="B320" s="49" t="s">
        <v>1887</v>
      </c>
      <c r="C320" s="49" t="s">
        <v>227</v>
      </c>
      <c r="D320" s="49" t="s">
        <v>250</v>
      </c>
      <c r="E320" s="49" t="s">
        <v>251</v>
      </c>
      <c r="F320" s="49"/>
      <c r="G320" s="49" t="s">
        <v>120</v>
      </c>
      <c r="H320" s="50">
        <v>15</v>
      </c>
      <c r="I320" s="55">
        <v>150</v>
      </c>
      <c r="J320" s="49" t="s">
        <v>36</v>
      </c>
      <c r="K320" s="49" t="s">
        <v>37</v>
      </c>
    </row>
    <row r="321" spans="1:17" ht="15.75" customHeight="1">
      <c r="A321" s="49">
        <v>27</v>
      </c>
      <c r="B321" s="49" t="s">
        <v>1888</v>
      </c>
      <c r="C321" s="49" t="s">
        <v>227</v>
      </c>
      <c r="D321" s="49" t="s">
        <v>649</v>
      </c>
      <c r="E321" s="49" t="s">
        <v>232</v>
      </c>
      <c r="F321" s="49"/>
      <c r="G321" s="49" t="s">
        <v>35</v>
      </c>
      <c r="H321" s="50">
        <v>3000</v>
      </c>
      <c r="I321" s="55">
        <v>600</v>
      </c>
      <c r="J321" s="49" t="s">
        <v>36</v>
      </c>
      <c r="K321" s="49" t="s">
        <v>37</v>
      </c>
      <c r="O321" s="4"/>
    </row>
    <row r="322" spans="1:17" ht="15.75" customHeight="1">
      <c r="A322" s="49">
        <v>27</v>
      </c>
      <c r="B322" s="49" t="s">
        <v>1888</v>
      </c>
      <c r="C322" s="49" t="s">
        <v>227</v>
      </c>
      <c r="D322" s="49" t="s">
        <v>649</v>
      </c>
      <c r="E322" s="49" t="s">
        <v>232</v>
      </c>
      <c r="F322" s="49"/>
      <c r="G322" s="49" t="s">
        <v>86</v>
      </c>
      <c r="H322" s="50">
        <v>200</v>
      </c>
      <c r="I322" s="55">
        <v>120</v>
      </c>
      <c r="J322" s="49" t="s">
        <v>36</v>
      </c>
      <c r="K322" s="49" t="s">
        <v>37</v>
      </c>
    </row>
    <row r="323" spans="1:17" ht="15.75" customHeight="1">
      <c r="A323" s="49">
        <v>27</v>
      </c>
      <c r="B323" s="49" t="s">
        <v>1889</v>
      </c>
      <c r="C323" s="49" t="s">
        <v>246</v>
      </c>
      <c r="D323" s="49" t="s">
        <v>313</v>
      </c>
      <c r="E323" s="49" t="s">
        <v>152</v>
      </c>
      <c r="F323" s="49"/>
      <c r="G323" s="49" t="s">
        <v>35</v>
      </c>
      <c r="H323" s="50">
        <v>1750</v>
      </c>
      <c r="I323" s="55">
        <v>350</v>
      </c>
      <c r="J323" s="49" t="s">
        <v>36</v>
      </c>
      <c r="K323" s="49" t="s">
        <v>37</v>
      </c>
      <c r="O323" s="4"/>
    </row>
    <row r="324" spans="1:17" ht="15.75" customHeight="1">
      <c r="A324" s="49">
        <v>27</v>
      </c>
      <c r="B324" s="49" t="s">
        <v>1890</v>
      </c>
      <c r="C324" s="49" t="s">
        <v>227</v>
      </c>
      <c r="D324" s="49" t="s">
        <v>1891</v>
      </c>
      <c r="E324" s="49" t="s">
        <v>507</v>
      </c>
      <c r="F324" s="49"/>
      <c r="G324" s="49" t="s">
        <v>35</v>
      </c>
      <c r="H324" s="50">
        <v>5000</v>
      </c>
      <c r="I324" s="55">
        <v>1000</v>
      </c>
      <c r="J324" s="49" t="s">
        <v>36</v>
      </c>
      <c r="K324" s="49" t="s">
        <v>37</v>
      </c>
    </row>
    <row r="325" spans="1:17" ht="15.75" customHeight="1">
      <c r="A325" s="49">
        <v>27</v>
      </c>
      <c r="B325" s="49" t="s">
        <v>1892</v>
      </c>
      <c r="C325" s="49" t="s">
        <v>227</v>
      </c>
      <c r="D325" s="49" t="s">
        <v>1237</v>
      </c>
      <c r="E325" s="49" t="s">
        <v>48</v>
      </c>
      <c r="F325" s="49"/>
      <c r="G325" s="49" t="s">
        <v>35</v>
      </c>
      <c r="H325" s="50">
        <v>100</v>
      </c>
      <c r="I325" s="55">
        <v>30</v>
      </c>
      <c r="J325" s="49" t="s">
        <v>36</v>
      </c>
      <c r="K325" s="49" t="s">
        <v>37</v>
      </c>
      <c r="O325" s="4"/>
    </row>
    <row r="326" spans="1:17" ht="15.75" customHeight="1">
      <c r="A326" s="49">
        <v>27</v>
      </c>
      <c r="B326" s="49" t="s">
        <v>1893</v>
      </c>
      <c r="C326" s="49" t="s">
        <v>246</v>
      </c>
      <c r="D326" s="49" t="s">
        <v>602</v>
      </c>
      <c r="E326" s="49" t="s">
        <v>235</v>
      </c>
      <c r="F326" s="49"/>
      <c r="G326" s="49" t="s">
        <v>35</v>
      </c>
      <c r="H326" s="50">
        <v>1000</v>
      </c>
      <c r="I326" s="55">
        <v>200</v>
      </c>
      <c r="J326" s="49" t="s">
        <v>36</v>
      </c>
      <c r="K326" s="49" t="s">
        <v>37</v>
      </c>
    </row>
    <row r="327" spans="1:17" ht="15.75" customHeight="1">
      <c r="A327" s="49">
        <v>27</v>
      </c>
      <c r="B327" s="49" t="s">
        <v>1894</v>
      </c>
      <c r="C327" s="49" t="s">
        <v>227</v>
      </c>
      <c r="D327" s="49" t="s">
        <v>1215</v>
      </c>
      <c r="E327" s="49" t="s">
        <v>232</v>
      </c>
      <c r="F327" s="49"/>
      <c r="G327" s="49" t="s">
        <v>35</v>
      </c>
      <c r="H327" s="50">
        <v>2000</v>
      </c>
      <c r="I327" s="55">
        <v>400</v>
      </c>
      <c r="J327" s="49" t="s">
        <v>36</v>
      </c>
      <c r="K327" s="49" t="s">
        <v>37</v>
      </c>
      <c r="O327" s="4"/>
    </row>
    <row r="328" spans="1:17" ht="15.75" customHeight="1">
      <c r="A328" s="49">
        <v>27</v>
      </c>
      <c r="B328" s="49" t="s">
        <v>868</v>
      </c>
      <c r="C328" s="49" t="s">
        <v>227</v>
      </c>
      <c r="D328" s="49" t="s">
        <v>780</v>
      </c>
      <c r="E328" s="49" t="s">
        <v>80</v>
      </c>
      <c r="F328" s="49"/>
      <c r="G328" s="49" t="s">
        <v>35</v>
      </c>
      <c r="H328" s="50">
        <v>15000</v>
      </c>
      <c r="I328" s="55">
        <v>3000</v>
      </c>
      <c r="J328" s="49" t="s">
        <v>36</v>
      </c>
      <c r="K328" s="49" t="s">
        <v>37</v>
      </c>
      <c r="O328" s="4"/>
    </row>
    <row r="329" spans="1:17" ht="15.75" customHeight="1">
      <c r="A329" s="49">
        <v>27</v>
      </c>
      <c r="B329" s="49" t="s">
        <v>1813</v>
      </c>
      <c r="C329" s="49" t="s">
        <v>227</v>
      </c>
      <c r="D329" s="49" t="s">
        <v>1390</v>
      </c>
      <c r="E329" s="49" t="s">
        <v>80</v>
      </c>
      <c r="F329" s="49"/>
      <c r="G329" s="49" t="s">
        <v>35</v>
      </c>
      <c r="H329" s="50">
        <v>2000</v>
      </c>
      <c r="I329" s="55">
        <v>400</v>
      </c>
      <c r="J329" s="49" t="s">
        <v>36</v>
      </c>
      <c r="K329" s="49" t="s">
        <v>37</v>
      </c>
      <c r="O329" s="4"/>
    </row>
    <row r="330" spans="1:17" ht="15.75" customHeight="1">
      <c r="A330" s="49">
        <v>27</v>
      </c>
      <c r="B330" s="49" t="s">
        <v>1813</v>
      </c>
      <c r="C330" s="49" t="s">
        <v>227</v>
      </c>
      <c r="D330" s="49" t="s">
        <v>1390</v>
      </c>
      <c r="E330" s="49" t="s">
        <v>80</v>
      </c>
      <c r="F330" s="49"/>
      <c r="G330" s="49" t="s">
        <v>86</v>
      </c>
      <c r="H330" s="50">
        <v>500</v>
      </c>
      <c r="I330" s="55">
        <v>300</v>
      </c>
      <c r="J330" s="49" t="s">
        <v>36</v>
      </c>
      <c r="K330" s="49" t="s">
        <v>37</v>
      </c>
    </row>
    <row r="331" spans="1:17" ht="15.75" customHeight="1">
      <c r="A331" s="49">
        <v>27</v>
      </c>
      <c r="B331" s="49" t="s">
        <v>1895</v>
      </c>
      <c r="C331" s="49" t="s">
        <v>246</v>
      </c>
      <c r="D331" s="49" t="s">
        <v>619</v>
      </c>
      <c r="E331" s="49" t="s">
        <v>193</v>
      </c>
      <c r="F331" s="49"/>
      <c r="G331" s="49" t="s">
        <v>35</v>
      </c>
      <c r="H331" s="50">
        <v>2500</v>
      </c>
      <c r="I331" s="55">
        <v>500</v>
      </c>
      <c r="J331" s="49" t="s">
        <v>36</v>
      </c>
      <c r="K331" s="49" t="s">
        <v>37</v>
      </c>
    </row>
    <row r="332" spans="1:17" ht="15.75" customHeight="1">
      <c r="A332" s="49">
        <v>27</v>
      </c>
      <c r="B332" s="49" t="s">
        <v>1895</v>
      </c>
      <c r="C332" s="49" t="s">
        <v>246</v>
      </c>
      <c r="D332" s="49" t="s">
        <v>619</v>
      </c>
      <c r="E332" s="49" t="s">
        <v>193</v>
      </c>
      <c r="F332" s="49"/>
      <c r="G332" s="49"/>
      <c r="H332" s="50"/>
      <c r="I332" s="55"/>
      <c r="J332" s="49" t="s">
        <v>36</v>
      </c>
      <c r="K332" s="49" t="s">
        <v>37</v>
      </c>
    </row>
    <row r="333" spans="1:17" ht="15.75" customHeight="1">
      <c r="A333" s="49">
        <v>27</v>
      </c>
      <c r="B333" s="49" t="s">
        <v>1896</v>
      </c>
      <c r="C333" s="49" t="s">
        <v>227</v>
      </c>
      <c r="D333" s="49" t="s">
        <v>1897</v>
      </c>
      <c r="E333" s="49" t="s">
        <v>193</v>
      </c>
      <c r="F333" s="49"/>
      <c r="G333" s="49" t="s">
        <v>35</v>
      </c>
      <c r="H333" s="50">
        <v>5000</v>
      </c>
      <c r="I333" s="55">
        <v>1000</v>
      </c>
      <c r="J333" s="49" t="s">
        <v>36</v>
      </c>
      <c r="K333" s="49" t="s">
        <v>37</v>
      </c>
      <c r="Q333" s="4"/>
    </row>
    <row r="334" spans="1:17" ht="15.75" customHeight="1">
      <c r="A334" s="49">
        <v>28</v>
      </c>
      <c r="B334" s="49" t="s">
        <v>1898</v>
      </c>
      <c r="C334" s="49" t="s">
        <v>227</v>
      </c>
      <c r="D334" s="49" t="s">
        <v>1804</v>
      </c>
      <c r="E334" s="49" t="s">
        <v>51</v>
      </c>
      <c r="F334" s="49"/>
      <c r="G334" s="49" t="s">
        <v>35</v>
      </c>
      <c r="H334" s="50">
        <v>1100</v>
      </c>
      <c r="I334" s="55">
        <v>220</v>
      </c>
      <c r="J334" s="49" t="s">
        <v>36</v>
      </c>
      <c r="K334" s="49" t="s">
        <v>37</v>
      </c>
    </row>
    <row r="335" spans="1:17" ht="15.75" customHeight="1">
      <c r="A335" s="49">
        <v>28</v>
      </c>
      <c r="B335" s="49" t="s">
        <v>1899</v>
      </c>
      <c r="C335" s="49" t="s">
        <v>227</v>
      </c>
      <c r="D335" s="49" t="s">
        <v>604</v>
      </c>
      <c r="E335" s="49" t="s">
        <v>235</v>
      </c>
      <c r="F335" s="49"/>
      <c r="G335" s="49" t="s">
        <v>35</v>
      </c>
      <c r="H335" s="50">
        <v>500</v>
      </c>
      <c r="I335" s="55">
        <v>100</v>
      </c>
      <c r="J335" s="49" t="s">
        <v>36</v>
      </c>
      <c r="K335" s="49" t="s">
        <v>37</v>
      </c>
    </row>
    <row r="336" spans="1:17" ht="15.75" customHeight="1">
      <c r="A336" s="49">
        <v>28</v>
      </c>
      <c r="B336" s="49" t="s">
        <v>1900</v>
      </c>
      <c r="C336" s="49" t="s">
        <v>227</v>
      </c>
      <c r="D336" s="49" t="s">
        <v>515</v>
      </c>
      <c r="E336" s="49" t="s">
        <v>164</v>
      </c>
      <c r="F336" s="49"/>
      <c r="G336" s="49" t="s">
        <v>35</v>
      </c>
      <c r="H336" s="50">
        <v>100</v>
      </c>
      <c r="I336" s="55">
        <v>20</v>
      </c>
      <c r="J336" s="49" t="s">
        <v>36</v>
      </c>
      <c r="K336" s="49" t="s">
        <v>37</v>
      </c>
    </row>
    <row r="337" spans="1:11" ht="15.75" customHeight="1">
      <c r="A337" s="49">
        <v>28</v>
      </c>
      <c r="B337" s="49" t="s">
        <v>1901</v>
      </c>
      <c r="C337" s="49" t="s">
        <v>227</v>
      </c>
      <c r="D337" s="49" t="s">
        <v>32</v>
      </c>
      <c r="E337" s="49" t="s">
        <v>164</v>
      </c>
      <c r="F337" s="49"/>
      <c r="G337" s="49" t="s">
        <v>86</v>
      </c>
      <c r="H337" s="50">
        <v>400</v>
      </c>
      <c r="I337" s="55">
        <v>240</v>
      </c>
      <c r="J337" s="49" t="s">
        <v>36</v>
      </c>
      <c r="K337" s="49" t="s">
        <v>37</v>
      </c>
    </row>
    <row r="338" spans="1:11" ht="15.75" customHeight="1">
      <c r="A338" s="49">
        <v>28</v>
      </c>
      <c r="B338" s="49" t="s">
        <v>1902</v>
      </c>
      <c r="C338" s="49" t="s">
        <v>246</v>
      </c>
      <c r="D338" s="49" t="s">
        <v>323</v>
      </c>
      <c r="E338" s="49" t="s">
        <v>232</v>
      </c>
      <c r="F338" s="49"/>
      <c r="G338" s="49" t="s">
        <v>35</v>
      </c>
      <c r="H338" s="50">
        <v>1500</v>
      </c>
      <c r="I338" s="55">
        <v>300</v>
      </c>
      <c r="J338" s="49" t="s">
        <v>36</v>
      </c>
      <c r="K338" s="49" t="s">
        <v>37</v>
      </c>
    </row>
    <row r="339" spans="1:11" ht="15.75" customHeight="1">
      <c r="A339" s="49">
        <v>28</v>
      </c>
      <c r="B339" s="49" t="s">
        <v>1902</v>
      </c>
      <c r="C339" s="49" t="s">
        <v>246</v>
      </c>
      <c r="D339" s="49" t="s">
        <v>323</v>
      </c>
      <c r="E339" s="49" t="s">
        <v>232</v>
      </c>
      <c r="F339" s="49"/>
      <c r="G339" s="49" t="s">
        <v>35</v>
      </c>
      <c r="H339" s="50">
        <v>500</v>
      </c>
      <c r="I339" s="55"/>
      <c r="J339" s="49" t="s">
        <v>36</v>
      </c>
      <c r="K339" s="49" t="s">
        <v>37</v>
      </c>
    </row>
    <row r="340" spans="1:11" ht="15.75" customHeight="1">
      <c r="A340" s="49">
        <v>28</v>
      </c>
      <c r="B340" s="49" t="s">
        <v>1903</v>
      </c>
      <c r="C340" s="49" t="s">
        <v>227</v>
      </c>
      <c r="D340" s="49" t="s">
        <v>231</v>
      </c>
      <c r="E340" s="49" t="s">
        <v>232</v>
      </c>
      <c r="F340" s="49"/>
      <c r="G340" s="49" t="s">
        <v>35</v>
      </c>
      <c r="H340" s="50">
        <v>1500</v>
      </c>
      <c r="I340" s="55">
        <v>300</v>
      </c>
      <c r="J340" s="49" t="s">
        <v>36</v>
      </c>
      <c r="K340" s="49" t="s">
        <v>37</v>
      </c>
    </row>
    <row r="341" spans="1:11" ht="15.75" customHeight="1">
      <c r="A341" s="49">
        <v>28</v>
      </c>
      <c r="B341" s="49" t="s">
        <v>1903</v>
      </c>
      <c r="C341" s="49" t="s">
        <v>227</v>
      </c>
      <c r="D341" s="49" t="s">
        <v>231</v>
      </c>
      <c r="E341" s="49" t="s">
        <v>232</v>
      </c>
      <c r="F341" s="49"/>
      <c r="G341" s="49" t="s">
        <v>86</v>
      </c>
      <c r="H341" s="50">
        <v>300</v>
      </c>
      <c r="I341" s="55">
        <v>180</v>
      </c>
      <c r="J341" s="49" t="s">
        <v>36</v>
      </c>
      <c r="K341" s="49" t="s">
        <v>37</v>
      </c>
    </row>
    <row r="342" spans="1:11" ht="15.75" customHeight="1">
      <c r="A342" s="49">
        <v>28</v>
      </c>
      <c r="B342" s="49" t="s">
        <v>1904</v>
      </c>
      <c r="C342" s="49" t="s">
        <v>227</v>
      </c>
      <c r="D342" s="49" t="s">
        <v>423</v>
      </c>
      <c r="E342" s="49" t="s">
        <v>248</v>
      </c>
      <c r="F342" s="49"/>
      <c r="G342" s="49" t="s">
        <v>35</v>
      </c>
      <c r="H342" s="50">
        <v>500</v>
      </c>
      <c r="I342" s="55">
        <v>100</v>
      </c>
      <c r="J342" s="49" t="s">
        <v>36</v>
      </c>
      <c r="K342" s="49" t="s">
        <v>37</v>
      </c>
    </row>
    <row r="343" spans="1:11" ht="15.75" customHeight="1">
      <c r="A343" s="49">
        <v>28</v>
      </c>
      <c r="B343" s="49" t="s">
        <v>1904</v>
      </c>
      <c r="C343" s="49" t="s">
        <v>227</v>
      </c>
      <c r="D343" s="49" t="s">
        <v>423</v>
      </c>
      <c r="E343" s="49" t="s">
        <v>248</v>
      </c>
      <c r="F343" s="49"/>
      <c r="G343" s="49" t="s">
        <v>86</v>
      </c>
      <c r="H343" s="50">
        <v>500</v>
      </c>
      <c r="I343" s="55">
        <v>300</v>
      </c>
      <c r="J343" s="49" t="s">
        <v>36</v>
      </c>
      <c r="K343" s="49" t="s">
        <v>37</v>
      </c>
    </row>
    <row r="344" spans="1:11" ht="15.75" customHeight="1">
      <c r="A344" s="49">
        <v>28</v>
      </c>
      <c r="B344" s="49" t="s">
        <v>1808</v>
      </c>
      <c r="C344" s="49" t="s">
        <v>227</v>
      </c>
      <c r="D344" s="49" t="s">
        <v>323</v>
      </c>
      <c r="E344" s="49" t="s">
        <v>232</v>
      </c>
      <c r="F344" s="49"/>
      <c r="G344" s="49" t="s">
        <v>86</v>
      </c>
      <c r="H344" s="50">
        <v>1000</v>
      </c>
      <c r="I344" s="55">
        <v>600</v>
      </c>
      <c r="J344" s="49" t="s">
        <v>36</v>
      </c>
      <c r="K344" s="49" t="s">
        <v>37</v>
      </c>
    </row>
    <row r="345" spans="1:11" ht="15.75" customHeight="1">
      <c r="A345" s="49">
        <v>28</v>
      </c>
      <c r="B345" s="49" t="s">
        <v>1905</v>
      </c>
      <c r="C345" s="49" t="s">
        <v>227</v>
      </c>
      <c r="D345" s="49" t="s">
        <v>277</v>
      </c>
      <c r="E345" s="49" t="s">
        <v>232</v>
      </c>
      <c r="F345" s="49"/>
      <c r="G345" s="49" t="s">
        <v>35</v>
      </c>
      <c r="H345" s="50">
        <v>4000</v>
      </c>
      <c r="I345" s="55">
        <v>800</v>
      </c>
      <c r="J345" s="49" t="s">
        <v>36</v>
      </c>
      <c r="K345" s="49" t="s">
        <v>37</v>
      </c>
    </row>
    <row r="346" spans="1:11" ht="15.75" customHeight="1">
      <c r="A346" s="49">
        <v>28</v>
      </c>
      <c r="B346" s="49" t="s">
        <v>1905</v>
      </c>
      <c r="C346" s="49" t="s">
        <v>227</v>
      </c>
      <c r="D346" s="49" t="s">
        <v>277</v>
      </c>
      <c r="E346" s="49" t="s">
        <v>232</v>
      </c>
      <c r="F346" s="49"/>
      <c r="G346" s="49" t="s">
        <v>86</v>
      </c>
      <c r="H346" s="50">
        <v>150</v>
      </c>
      <c r="I346" s="55">
        <v>90</v>
      </c>
      <c r="J346" s="49" t="s">
        <v>36</v>
      </c>
      <c r="K346" s="49" t="s">
        <v>37</v>
      </c>
    </row>
    <row r="347" spans="1:11" ht="15.75" customHeight="1">
      <c r="A347" s="49">
        <v>28</v>
      </c>
      <c r="B347" s="49" t="s">
        <v>1906</v>
      </c>
      <c r="C347" s="49" t="s">
        <v>227</v>
      </c>
      <c r="D347" s="49" t="s">
        <v>306</v>
      </c>
      <c r="E347" s="49" t="s">
        <v>307</v>
      </c>
      <c r="F347" s="49"/>
      <c r="G347" s="49" t="s">
        <v>35</v>
      </c>
      <c r="H347" s="50">
        <v>500</v>
      </c>
      <c r="I347" s="55">
        <v>100</v>
      </c>
      <c r="J347" s="49" t="s">
        <v>36</v>
      </c>
      <c r="K347" s="49" t="s">
        <v>37</v>
      </c>
    </row>
    <row r="348" spans="1:11" ht="15.75" customHeight="1">
      <c r="A348" s="49">
        <v>28</v>
      </c>
      <c r="B348" s="49" t="s">
        <v>1907</v>
      </c>
      <c r="C348" s="49" t="s">
        <v>227</v>
      </c>
      <c r="D348" s="49" t="s">
        <v>306</v>
      </c>
      <c r="E348" s="49" t="s">
        <v>307</v>
      </c>
      <c r="F348" s="49"/>
      <c r="G348" s="49" t="s">
        <v>86</v>
      </c>
      <c r="H348" s="50">
        <v>100</v>
      </c>
      <c r="I348" s="55">
        <v>60</v>
      </c>
      <c r="J348" s="49" t="s">
        <v>36</v>
      </c>
      <c r="K348" s="49" t="s">
        <v>37</v>
      </c>
    </row>
    <row r="349" spans="1:11" ht="15.75" customHeight="1">
      <c r="A349" s="49">
        <v>28</v>
      </c>
      <c r="B349" s="49" t="s">
        <v>1908</v>
      </c>
      <c r="C349" s="49" t="s">
        <v>227</v>
      </c>
      <c r="D349" s="49" t="s">
        <v>1909</v>
      </c>
      <c r="E349" s="49" t="s">
        <v>323</v>
      </c>
      <c r="F349" s="49"/>
      <c r="G349" s="49" t="s">
        <v>120</v>
      </c>
      <c r="H349" s="50">
        <v>15</v>
      </c>
      <c r="I349" s="55">
        <v>150</v>
      </c>
      <c r="J349" s="49" t="s">
        <v>36</v>
      </c>
      <c r="K349" s="49" t="s">
        <v>37</v>
      </c>
    </row>
    <row r="350" spans="1:11" ht="15.75" customHeight="1">
      <c r="A350" s="49">
        <v>29</v>
      </c>
      <c r="B350" s="49" t="s">
        <v>1910</v>
      </c>
      <c r="C350" s="49" t="s">
        <v>246</v>
      </c>
      <c r="D350" s="49" t="s">
        <v>760</v>
      </c>
      <c r="E350" s="49" t="s">
        <v>241</v>
      </c>
      <c r="F350" s="49"/>
      <c r="G350" s="49" t="s">
        <v>35</v>
      </c>
      <c r="H350" s="50">
        <v>500</v>
      </c>
      <c r="I350" s="55">
        <v>150</v>
      </c>
      <c r="J350" s="49" t="s">
        <v>36</v>
      </c>
      <c r="K350" s="49" t="s">
        <v>37</v>
      </c>
    </row>
    <row r="351" spans="1:11" ht="15.75" customHeight="1">
      <c r="A351" s="49">
        <v>29</v>
      </c>
      <c r="B351" s="49" t="s">
        <v>1911</v>
      </c>
      <c r="C351" s="49" t="s">
        <v>227</v>
      </c>
      <c r="D351" s="49" t="s">
        <v>1912</v>
      </c>
      <c r="E351" s="49" t="s">
        <v>164</v>
      </c>
      <c r="F351" s="49"/>
      <c r="G351" s="49" t="s">
        <v>35</v>
      </c>
      <c r="H351" s="50">
        <v>2000</v>
      </c>
      <c r="I351" s="55">
        <v>400</v>
      </c>
      <c r="J351" s="49" t="s">
        <v>36</v>
      </c>
      <c r="K351" s="49" t="s">
        <v>37</v>
      </c>
    </row>
    <row r="352" spans="1:11" ht="15.75" customHeight="1">
      <c r="A352" s="49">
        <v>29</v>
      </c>
      <c r="B352" s="49" t="s">
        <v>1913</v>
      </c>
      <c r="C352" s="49" t="s">
        <v>227</v>
      </c>
      <c r="D352" s="49" t="s">
        <v>924</v>
      </c>
      <c r="E352" s="49" t="s">
        <v>248</v>
      </c>
      <c r="F352" s="49"/>
      <c r="G352" s="49" t="s">
        <v>35</v>
      </c>
      <c r="H352" s="50">
        <v>300</v>
      </c>
      <c r="I352" s="55">
        <v>60</v>
      </c>
      <c r="J352" s="49" t="s">
        <v>36</v>
      </c>
      <c r="K352" s="49" t="s">
        <v>37</v>
      </c>
    </row>
    <row r="353" spans="1:17" ht="15.75" customHeight="1">
      <c r="A353" s="49">
        <v>29</v>
      </c>
      <c r="B353" s="49" t="s">
        <v>1914</v>
      </c>
      <c r="C353" s="49" t="s">
        <v>227</v>
      </c>
      <c r="D353" s="49" t="s">
        <v>924</v>
      </c>
      <c r="E353" s="49" t="s">
        <v>248</v>
      </c>
      <c r="F353" s="49"/>
      <c r="G353" s="49" t="s">
        <v>35</v>
      </c>
      <c r="H353" s="50">
        <v>500</v>
      </c>
      <c r="I353" s="55">
        <v>100</v>
      </c>
      <c r="J353" s="49" t="s">
        <v>36</v>
      </c>
      <c r="K353" s="49" t="s">
        <v>37</v>
      </c>
    </row>
    <row r="354" spans="1:17" ht="15.75" customHeight="1">
      <c r="A354" s="49"/>
      <c r="B354" s="49"/>
      <c r="C354" s="49"/>
      <c r="D354" s="49"/>
      <c r="E354" s="49"/>
      <c r="F354" s="49"/>
      <c r="G354" s="49"/>
      <c r="H354" s="49"/>
      <c r="I354" s="55"/>
      <c r="J354" s="49"/>
      <c r="K354" s="49"/>
    </row>
    <row r="355" spans="1:17" ht="15.75" customHeight="1">
      <c r="A355" s="49"/>
      <c r="B355" s="49"/>
      <c r="C355" s="49"/>
      <c r="D355" s="49"/>
      <c r="E355" s="49"/>
      <c r="F355" s="49"/>
      <c r="G355" s="49"/>
      <c r="H355" s="50"/>
      <c r="I355" s="55"/>
      <c r="J355" s="49"/>
      <c r="K355" s="49"/>
    </row>
    <row r="356" spans="1:17" ht="15.75" customHeight="1">
      <c r="A356" s="49"/>
      <c r="B356" s="49"/>
      <c r="C356" s="49"/>
      <c r="D356" s="49"/>
      <c r="E356" s="49"/>
      <c r="F356" s="49"/>
      <c r="G356" s="49"/>
      <c r="H356" s="50"/>
      <c r="I356" s="55"/>
      <c r="J356" s="49"/>
      <c r="K356" s="49"/>
    </row>
    <row r="357" spans="1:17" ht="15.75" customHeight="1"/>
    <row r="358" spans="1:17" ht="15.75" customHeight="1">
      <c r="Q358" s="4"/>
    </row>
    <row r="359" spans="1:17" ht="15.75" customHeight="1"/>
    <row r="360" spans="1:17" ht="15.75" customHeight="1"/>
    <row r="361" spans="1:17" ht="15.75" customHeight="1"/>
    <row r="362" spans="1:17" ht="15.75" customHeight="1">
      <c r="A362" s="2"/>
      <c r="B362" s="3"/>
      <c r="C362" s="3"/>
      <c r="D362" s="3"/>
      <c r="E362" s="3"/>
      <c r="F362" s="1"/>
      <c r="G362" s="3"/>
      <c r="H362" s="99"/>
      <c r="I362" s="5"/>
      <c r="J362" s="1"/>
      <c r="K362" s="3"/>
    </row>
    <row r="363" spans="1:17" ht="15.75" customHeight="1">
      <c r="A363" s="1"/>
      <c r="B363" s="1"/>
      <c r="D363" s="1"/>
      <c r="E363" s="1"/>
      <c r="G363" s="1"/>
      <c r="H363" s="4"/>
      <c r="J363" s="1"/>
    </row>
    <row r="364" spans="1:17" ht="15.75" customHeight="1">
      <c r="I364" s="60" t="s">
        <v>53</v>
      </c>
      <c r="J364" s="60"/>
    </row>
    <row r="365" spans="1:17" ht="15.75" customHeight="1">
      <c r="B365" s="61" t="s">
        <v>55</v>
      </c>
      <c r="E365" s="61" t="s">
        <v>56</v>
      </c>
      <c r="I365" s="60" t="s">
        <v>1915</v>
      </c>
      <c r="J365" s="60"/>
    </row>
    <row r="366" spans="1:17" ht="15.75" customHeight="1">
      <c r="I366" s="60" t="s">
        <v>1916</v>
      </c>
      <c r="J366" s="60"/>
    </row>
    <row r="367" spans="1:17" ht="15.75" customHeight="1">
      <c r="I367" s="60" t="s">
        <v>1917</v>
      </c>
      <c r="J367" s="60"/>
    </row>
    <row r="368" spans="1:17" ht="15.75" customHeight="1">
      <c r="B368" s="65" t="s">
        <v>109</v>
      </c>
      <c r="E368" s="65" t="s">
        <v>61</v>
      </c>
      <c r="F368" s="65"/>
      <c r="G368" s="62"/>
      <c r="I368" s="60" t="s">
        <v>1918</v>
      </c>
      <c r="J368" s="60"/>
    </row>
    <row r="369" spans="2:10" ht="15.75" customHeight="1">
      <c r="B369" s="61" t="s">
        <v>110</v>
      </c>
      <c r="E369" s="61" t="s">
        <v>124</v>
      </c>
      <c r="I369" s="60" t="s">
        <v>1919</v>
      </c>
      <c r="J369" s="60"/>
    </row>
    <row r="370" spans="2:10" ht="15.75" customHeight="1">
      <c r="I370" s="60" t="s">
        <v>1920</v>
      </c>
      <c r="J370" s="60"/>
    </row>
    <row r="371" spans="2:10" ht="15.75" customHeight="1">
      <c r="I371" s="60" t="s">
        <v>66</v>
      </c>
      <c r="J371" s="60"/>
    </row>
    <row r="372" spans="2:10" ht="15.75" customHeight="1">
      <c r="I372" s="60" t="s">
        <v>1921</v>
      </c>
      <c r="J372" s="63"/>
    </row>
    <row r="373" spans="2:10" ht="15.75" customHeight="1">
      <c r="I373" s="60" t="s">
        <v>1922</v>
      </c>
      <c r="J373" s="63"/>
    </row>
    <row r="374" spans="2:10" ht="15.75" customHeight="1"/>
    <row r="375" spans="2:10" ht="15.75" customHeight="1"/>
    <row r="376" spans="2:10" ht="15.75" customHeight="1"/>
    <row r="377" spans="2:10" ht="15.75" customHeight="1"/>
    <row r="378" spans="2:10" ht="15.75" customHeight="1"/>
    <row r="379" spans="2:10" ht="15.75" customHeight="1"/>
    <row r="380" spans="2:10" ht="15.75" customHeight="1"/>
    <row r="381" spans="2:10" ht="15.75" customHeight="1"/>
    <row r="382" spans="2:10" ht="15.75" customHeight="1"/>
    <row r="383" spans="2:10" ht="15.75" customHeight="1"/>
    <row r="384" spans="2:1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" right="0.7" top="0.75" bottom="0.75" header="0" footer="0"/>
  <pageSetup paperSize="5" scale="9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1923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1924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1925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1926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1927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1</v>
      </c>
      <c r="B12" s="49" t="s">
        <v>1928</v>
      </c>
      <c r="C12" s="49" t="s">
        <v>227</v>
      </c>
      <c r="D12" s="49" t="s">
        <v>1255</v>
      </c>
      <c r="E12" s="49" t="s">
        <v>323</v>
      </c>
      <c r="F12" s="49"/>
      <c r="G12" s="49" t="s">
        <v>242</v>
      </c>
      <c r="H12" s="49">
        <v>170</v>
      </c>
      <c r="I12" s="55">
        <v>510</v>
      </c>
      <c r="J12" s="49" t="s">
        <v>36</v>
      </c>
      <c r="K12" s="49" t="s">
        <v>37</v>
      </c>
    </row>
    <row r="13" spans="1:11">
      <c r="A13" s="49">
        <v>1</v>
      </c>
      <c r="B13" s="49" t="s">
        <v>1929</v>
      </c>
      <c r="C13" s="49" t="s">
        <v>227</v>
      </c>
      <c r="D13" s="49" t="s">
        <v>1930</v>
      </c>
      <c r="E13" s="49" t="s">
        <v>307</v>
      </c>
      <c r="F13" s="49"/>
      <c r="G13" s="49" t="s">
        <v>35</v>
      </c>
      <c r="H13" s="50">
        <v>1400</v>
      </c>
      <c r="I13" s="55">
        <v>280</v>
      </c>
      <c r="J13" s="49" t="s">
        <v>36</v>
      </c>
      <c r="K13" s="49" t="s">
        <v>37</v>
      </c>
    </row>
    <row r="14" spans="1:11">
      <c r="A14" s="49">
        <v>1</v>
      </c>
      <c r="B14" s="49" t="s">
        <v>1929</v>
      </c>
      <c r="C14" s="49" t="s">
        <v>227</v>
      </c>
      <c r="D14" s="49" t="s">
        <v>1930</v>
      </c>
      <c r="E14" s="49" t="s">
        <v>307</v>
      </c>
      <c r="F14" s="49"/>
      <c r="G14" s="49" t="s">
        <v>170</v>
      </c>
      <c r="H14" s="49">
        <v>100</v>
      </c>
      <c r="I14" s="55">
        <v>60</v>
      </c>
      <c r="J14" s="49" t="s">
        <v>36</v>
      </c>
      <c r="K14" s="49" t="s">
        <v>37</v>
      </c>
    </row>
    <row r="15" spans="1:11">
      <c r="A15" s="49">
        <v>1</v>
      </c>
      <c r="B15" s="49" t="s">
        <v>1931</v>
      </c>
      <c r="C15" s="49" t="s">
        <v>227</v>
      </c>
      <c r="D15" s="49" t="s">
        <v>1932</v>
      </c>
      <c r="E15" s="49" t="s">
        <v>75</v>
      </c>
      <c r="F15" s="49"/>
      <c r="G15" s="49" t="s">
        <v>35</v>
      </c>
      <c r="H15" s="49">
        <v>400</v>
      </c>
      <c r="I15" s="55">
        <v>80</v>
      </c>
      <c r="J15" s="49" t="s">
        <v>36</v>
      </c>
      <c r="K15" s="49" t="s">
        <v>37</v>
      </c>
    </row>
    <row r="16" spans="1:11">
      <c r="A16" s="49">
        <v>1</v>
      </c>
      <c r="B16" s="49" t="s">
        <v>1931</v>
      </c>
      <c r="C16" s="49" t="s">
        <v>227</v>
      </c>
      <c r="D16" s="49" t="s">
        <v>1932</v>
      </c>
      <c r="E16" s="49" t="s">
        <v>75</v>
      </c>
      <c r="F16" s="49"/>
      <c r="G16" s="49" t="s">
        <v>120</v>
      </c>
      <c r="H16" s="49">
        <v>20</v>
      </c>
      <c r="I16" s="55">
        <v>200</v>
      </c>
      <c r="J16" s="49" t="s">
        <v>36</v>
      </c>
      <c r="K16" s="49" t="s">
        <v>37</v>
      </c>
    </row>
    <row r="17" spans="1:11">
      <c r="A17" s="49">
        <v>1</v>
      </c>
      <c r="B17" s="49" t="s">
        <v>1933</v>
      </c>
      <c r="C17" s="49" t="s">
        <v>227</v>
      </c>
      <c r="D17" s="49" t="s">
        <v>1097</v>
      </c>
      <c r="E17" s="49" t="s">
        <v>51</v>
      </c>
      <c r="F17" s="49"/>
      <c r="G17" s="49" t="s">
        <v>170</v>
      </c>
      <c r="H17" s="49">
        <v>500</v>
      </c>
      <c r="I17" s="55">
        <v>300</v>
      </c>
      <c r="J17" s="49" t="s">
        <v>36</v>
      </c>
      <c r="K17" s="49" t="s">
        <v>37</v>
      </c>
    </row>
    <row r="18" spans="1:11">
      <c r="A18" s="49">
        <v>1</v>
      </c>
      <c r="B18" s="49" t="s">
        <v>1934</v>
      </c>
      <c r="C18" s="49" t="s">
        <v>227</v>
      </c>
      <c r="D18" s="49" t="s">
        <v>819</v>
      </c>
      <c r="E18" s="49" t="s">
        <v>248</v>
      </c>
      <c r="F18" s="49"/>
      <c r="G18" s="49" t="s">
        <v>35</v>
      </c>
      <c r="H18" s="50">
        <v>2000</v>
      </c>
      <c r="I18" s="55">
        <v>400</v>
      </c>
      <c r="J18" s="49" t="s">
        <v>36</v>
      </c>
      <c r="K18" s="49" t="s">
        <v>37</v>
      </c>
    </row>
    <row r="19" spans="1:11">
      <c r="A19" s="49">
        <v>1</v>
      </c>
      <c r="B19" s="49" t="s">
        <v>542</v>
      </c>
      <c r="C19" s="49" t="s">
        <v>227</v>
      </c>
      <c r="D19" s="49" t="s">
        <v>354</v>
      </c>
      <c r="E19" s="49" t="s">
        <v>251</v>
      </c>
      <c r="F19" s="49"/>
      <c r="G19" s="49" t="s">
        <v>35</v>
      </c>
      <c r="H19" s="50">
        <v>2000</v>
      </c>
      <c r="I19" s="55">
        <v>400</v>
      </c>
      <c r="J19" s="49" t="s">
        <v>36</v>
      </c>
      <c r="K19" s="49" t="s">
        <v>37</v>
      </c>
    </row>
    <row r="20" spans="1:11">
      <c r="A20" s="49">
        <v>1</v>
      </c>
      <c r="B20" s="49" t="s">
        <v>542</v>
      </c>
      <c r="C20" s="49" t="s">
        <v>227</v>
      </c>
      <c r="D20" s="49" t="s">
        <v>354</v>
      </c>
      <c r="E20" s="49" t="s">
        <v>251</v>
      </c>
      <c r="F20" s="49"/>
      <c r="G20" s="49" t="s">
        <v>35</v>
      </c>
      <c r="H20" s="49">
        <v>300</v>
      </c>
      <c r="I20" s="55">
        <v>150</v>
      </c>
      <c r="J20" s="49" t="s">
        <v>36</v>
      </c>
      <c r="K20" s="49" t="s">
        <v>37</v>
      </c>
    </row>
    <row r="21" spans="1:11" ht="15.75" customHeight="1">
      <c r="A21" s="49">
        <v>1</v>
      </c>
      <c r="B21" s="49" t="s">
        <v>1935</v>
      </c>
      <c r="C21" s="49" t="s">
        <v>227</v>
      </c>
      <c r="D21" s="49" t="s">
        <v>385</v>
      </c>
      <c r="E21" s="49" t="s">
        <v>232</v>
      </c>
      <c r="F21" s="49"/>
      <c r="G21" s="49" t="s">
        <v>35</v>
      </c>
      <c r="H21" s="50">
        <v>2500</v>
      </c>
      <c r="I21" s="55">
        <v>500</v>
      </c>
      <c r="J21" s="49" t="s">
        <v>36</v>
      </c>
      <c r="K21" s="49" t="s">
        <v>37</v>
      </c>
    </row>
    <row r="22" spans="1:11" ht="15.75" customHeight="1">
      <c r="A22" s="49">
        <v>1</v>
      </c>
      <c r="B22" s="49" t="s">
        <v>1935</v>
      </c>
      <c r="C22" s="49" t="s">
        <v>227</v>
      </c>
      <c r="D22" s="49" t="s">
        <v>385</v>
      </c>
      <c r="E22" s="49" t="s">
        <v>232</v>
      </c>
      <c r="F22" s="49"/>
      <c r="G22" s="49" t="s">
        <v>35</v>
      </c>
      <c r="H22" s="49">
        <v>500</v>
      </c>
      <c r="I22" s="55"/>
      <c r="J22" s="49" t="s">
        <v>43</v>
      </c>
      <c r="K22" s="49" t="s">
        <v>37</v>
      </c>
    </row>
    <row r="23" spans="1:11" ht="15.75" customHeight="1">
      <c r="A23" s="49">
        <v>1</v>
      </c>
      <c r="B23" s="49" t="s">
        <v>1936</v>
      </c>
      <c r="C23" s="49" t="s">
        <v>246</v>
      </c>
      <c r="D23" s="49" t="s">
        <v>297</v>
      </c>
      <c r="E23" s="49" t="s">
        <v>51</v>
      </c>
      <c r="F23" s="49"/>
      <c r="G23" s="49" t="s">
        <v>35</v>
      </c>
      <c r="H23" s="50">
        <v>4000</v>
      </c>
      <c r="I23" s="55">
        <v>800</v>
      </c>
      <c r="J23" s="49" t="s">
        <v>36</v>
      </c>
      <c r="K23" s="49" t="s">
        <v>37</v>
      </c>
    </row>
    <row r="24" spans="1:11" ht="15.75" customHeight="1">
      <c r="A24" s="49">
        <v>1</v>
      </c>
      <c r="B24" s="49" t="s">
        <v>1937</v>
      </c>
      <c r="C24" s="49" t="s">
        <v>227</v>
      </c>
      <c r="D24" s="49" t="s">
        <v>879</v>
      </c>
      <c r="E24" s="49" t="s">
        <v>51</v>
      </c>
      <c r="F24" s="49"/>
      <c r="G24" s="49" t="s">
        <v>35</v>
      </c>
      <c r="H24" s="50">
        <v>1000</v>
      </c>
      <c r="I24" s="55">
        <v>200</v>
      </c>
      <c r="J24" s="49" t="s">
        <v>36</v>
      </c>
      <c r="K24" s="49" t="s">
        <v>37</v>
      </c>
    </row>
    <row r="25" spans="1:11" ht="15.75" customHeight="1">
      <c r="A25" s="49">
        <v>1</v>
      </c>
      <c r="B25" s="49" t="s">
        <v>1938</v>
      </c>
      <c r="C25" s="49" t="s">
        <v>227</v>
      </c>
      <c r="D25" s="49" t="s">
        <v>926</v>
      </c>
      <c r="E25" s="49" t="s">
        <v>232</v>
      </c>
      <c r="F25" s="49"/>
      <c r="G25" s="49" t="s">
        <v>35</v>
      </c>
      <c r="H25" s="49">
        <v>1200</v>
      </c>
      <c r="I25" s="55">
        <v>240</v>
      </c>
      <c r="J25" s="49" t="s">
        <v>36</v>
      </c>
      <c r="K25" s="49" t="s">
        <v>37</v>
      </c>
    </row>
    <row r="26" spans="1:11" ht="15.75" customHeight="1">
      <c r="A26" s="49">
        <v>1</v>
      </c>
      <c r="B26" s="49" t="s">
        <v>1939</v>
      </c>
      <c r="C26" s="49" t="s">
        <v>227</v>
      </c>
      <c r="D26" s="49" t="s">
        <v>1288</v>
      </c>
      <c r="E26" s="49" t="s">
        <v>307</v>
      </c>
      <c r="F26" s="49"/>
      <c r="G26" s="49" t="s">
        <v>35</v>
      </c>
      <c r="H26" s="49">
        <v>800</v>
      </c>
      <c r="I26" s="55">
        <v>160</v>
      </c>
      <c r="J26" s="49" t="s">
        <v>36</v>
      </c>
      <c r="K26" s="49" t="s">
        <v>37</v>
      </c>
    </row>
    <row r="27" spans="1:11" ht="15.75" customHeight="1">
      <c r="A27" s="49">
        <v>1</v>
      </c>
      <c r="B27" s="49" t="s">
        <v>1694</v>
      </c>
      <c r="C27" s="49" t="s">
        <v>246</v>
      </c>
      <c r="D27" s="49" t="s">
        <v>694</v>
      </c>
      <c r="E27" s="49" t="s">
        <v>235</v>
      </c>
      <c r="F27" s="49"/>
      <c r="G27" s="49" t="s">
        <v>35</v>
      </c>
      <c r="H27" s="50">
        <v>2000</v>
      </c>
      <c r="I27" s="55">
        <v>400</v>
      </c>
      <c r="J27" s="49" t="s">
        <v>36</v>
      </c>
      <c r="K27" s="49" t="s">
        <v>37</v>
      </c>
    </row>
    <row r="28" spans="1:11" ht="15.75" customHeight="1">
      <c r="A28" s="49">
        <v>1</v>
      </c>
      <c r="B28" s="49" t="s">
        <v>1940</v>
      </c>
      <c r="C28" s="49" t="s">
        <v>227</v>
      </c>
      <c r="D28" s="49" t="s">
        <v>260</v>
      </c>
      <c r="E28" s="49" t="s">
        <v>51</v>
      </c>
      <c r="F28" s="49"/>
      <c r="G28" s="49" t="s">
        <v>35</v>
      </c>
      <c r="H28" s="50">
        <v>1500</v>
      </c>
      <c r="I28" s="55">
        <v>300</v>
      </c>
      <c r="J28" s="49" t="s">
        <v>36</v>
      </c>
      <c r="K28" s="49" t="s">
        <v>37</v>
      </c>
    </row>
    <row r="29" spans="1:11" ht="15.75" customHeight="1">
      <c r="A29" s="49">
        <v>1</v>
      </c>
      <c r="B29" s="49" t="s">
        <v>1941</v>
      </c>
      <c r="C29" s="49" t="s">
        <v>227</v>
      </c>
      <c r="D29" s="49" t="s">
        <v>323</v>
      </c>
      <c r="E29" s="49" t="s">
        <v>232</v>
      </c>
      <c r="F29" s="49"/>
      <c r="G29" s="49" t="s">
        <v>35</v>
      </c>
      <c r="H29" s="49">
        <v>300</v>
      </c>
      <c r="I29" s="55">
        <v>60</v>
      </c>
      <c r="J29" s="49" t="s">
        <v>36</v>
      </c>
      <c r="K29" s="49" t="s">
        <v>37</v>
      </c>
    </row>
    <row r="30" spans="1:11" ht="15.75" customHeight="1">
      <c r="A30" s="49">
        <v>1</v>
      </c>
      <c r="B30" s="49" t="s">
        <v>1561</v>
      </c>
      <c r="C30" s="49" t="s">
        <v>227</v>
      </c>
      <c r="D30" s="49" t="s">
        <v>1190</v>
      </c>
      <c r="E30" s="49" t="s">
        <v>241</v>
      </c>
      <c r="F30" s="49"/>
      <c r="G30" s="49" t="s">
        <v>170</v>
      </c>
      <c r="H30" s="49">
        <v>500</v>
      </c>
      <c r="I30" s="55">
        <v>300</v>
      </c>
      <c r="J30" s="49" t="s">
        <v>36</v>
      </c>
      <c r="K30" s="49" t="s">
        <v>37</v>
      </c>
    </row>
    <row r="31" spans="1:11" ht="15.75" customHeight="1">
      <c r="A31" s="49">
        <v>1</v>
      </c>
      <c r="B31" s="49" t="s">
        <v>1942</v>
      </c>
      <c r="C31" s="49" t="s">
        <v>246</v>
      </c>
      <c r="D31" s="49" t="s">
        <v>323</v>
      </c>
      <c r="E31" s="49" t="s">
        <v>232</v>
      </c>
      <c r="F31" s="49"/>
      <c r="G31" s="49" t="s">
        <v>35</v>
      </c>
      <c r="H31" s="49">
        <v>500</v>
      </c>
      <c r="I31" s="55"/>
      <c r="J31" s="49" t="s">
        <v>43</v>
      </c>
      <c r="K31" s="49" t="s">
        <v>37</v>
      </c>
    </row>
    <row r="32" spans="1:11" ht="15.75" customHeight="1">
      <c r="A32" s="49">
        <v>1</v>
      </c>
      <c r="B32" s="49" t="s">
        <v>1943</v>
      </c>
      <c r="C32" s="49" t="s">
        <v>227</v>
      </c>
      <c r="D32" s="49" t="s">
        <v>1042</v>
      </c>
      <c r="E32" s="49" t="s">
        <v>251</v>
      </c>
      <c r="F32" s="49"/>
      <c r="G32" s="49" t="s">
        <v>35</v>
      </c>
      <c r="H32" s="49">
        <v>700</v>
      </c>
      <c r="I32" s="55">
        <v>140</v>
      </c>
      <c r="J32" s="49" t="s">
        <v>36</v>
      </c>
      <c r="K32" s="49" t="s">
        <v>37</v>
      </c>
    </row>
    <row r="33" spans="1:11" ht="15.75" customHeight="1">
      <c r="A33" s="49">
        <v>1</v>
      </c>
      <c r="B33" s="49" t="s">
        <v>1943</v>
      </c>
      <c r="C33" s="49" t="s">
        <v>227</v>
      </c>
      <c r="D33" s="49" t="s">
        <v>1042</v>
      </c>
      <c r="E33" s="49" t="s">
        <v>251</v>
      </c>
      <c r="F33" s="49"/>
      <c r="G33" s="49" t="s">
        <v>120</v>
      </c>
      <c r="H33" s="49">
        <v>2</v>
      </c>
      <c r="I33" s="55">
        <v>20</v>
      </c>
      <c r="J33" s="49" t="s">
        <v>36</v>
      </c>
      <c r="K33" s="49" t="s">
        <v>37</v>
      </c>
    </row>
    <row r="34" spans="1:11" ht="15.75" customHeight="1">
      <c r="A34" s="49">
        <v>1</v>
      </c>
      <c r="B34" s="49" t="s">
        <v>1944</v>
      </c>
      <c r="C34" s="49" t="s">
        <v>227</v>
      </c>
      <c r="D34" s="49" t="s">
        <v>32</v>
      </c>
      <c r="E34" s="49" t="s">
        <v>115</v>
      </c>
      <c r="F34" s="49"/>
      <c r="G34" s="49" t="s">
        <v>35</v>
      </c>
      <c r="H34" s="50">
        <v>5000</v>
      </c>
      <c r="I34" s="55">
        <v>2000</v>
      </c>
      <c r="J34" s="49" t="s">
        <v>117</v>
      </c>
      <c r="K34" s="49" t="s">
        <v>37</v>
      </c>
    </row>
    <row r="35" spans="1:11" ht="15.75" customHeight="1">
      <c r="A35" s="49">
        <v>1</v>
      </c>
      <c r="B35" s="49" t="s">
        <v>1945</v>
      </c>
      <c r="C35" s="49" t="s">
        <v>227</v>
      </c>
      <c r="D35" s="49" t="s">
        <v>616</v>
      </c>
      <c r="E35" s="49" t="s">
        <v>241</v>
      </c>
      <c r="F35" s="49"/>
      <c r="G35" s="49" t="s">
        <v>35</v>
      </c>
      <c r="H35" s="50">
        <v>3000</v>
      </c>
      <c r="I35" s="55">
        <v>600</v>
      </c>
      <c r="J35" s="49" t="s">
        <v>36</v>
      </c>
      <c r="K35" s="49" t="s">
        <v>37</v>
      </c>
    </row>
    <row r="36" spans="1:11" ht="15.75" customHeight="1">
      <c r="A36" s="49">
        <v>1</v>
      </c>
      <c r="B36" s="49" t="s">
        <v>1945</v>
      </c>
      <c r="C36" s="49" t="s">
        <v>227</v>
      </c>
      <c r="D36" s="49" t="s">
        <v>616</v>
      </c>
      <c r="E36" s="49" t="s">
        <v>241</v>
      </c>
      <c r="F36" s="49"/>
      <c r="G36" s="49" t="s">
        <v>35</v>
      </c>
      <c r="H36" s="49">
        <v>500</v>
      </c>
      <c r="I36" s="55"/>
      <c r="J36" s="49" t="s">
        <v>43</v>
      </c>
      <c r="K36" s="49" t="s">
        <v>37</v>
      </c>
    </row>
    <row r="37" spans="1:11" ht="15.75" customHeight="1">
      <c r="A37" s="49">
        <v>1</v>
      </c>
      <c r="B37" s="49" t="s">
        <v>1946</v>
      </c>
      <c r="C37" s="49" t="s">
        <v>246</v>
      </c>
      <c r="D37" s="49" t="s">
        <v>616</v>
      </c>
      <c r="E37" s="49" t="s">
        <v>241</v>
      </c>
      <c r="F37" s="49"/>
      <c r="G37" s="49" t="s">
        <v>35</v>
      </c>
      <c r="H37" s="49">
        <v>500</v>
      </c>
      <c r="I37" s="55"/>
      <c r="J37" s="49" t="s">
        <v>43</v>
      </c>
      <c r="K37" s="49" t="s">
        <v>37</v>
      </c>
    </row>
    <row r="38" spans="1:11" ht="15.75" customHeight="1">
      <c r="A38" s="49">
        <v>1</v>
      </c>
      <c r="B38" s="49" t="s">
        <v>1947</v>
      </c>
      <c r="C38" s="49" t="s">
        <v>227</v>
      </c>
      <c r="D38" s="49" t="s">
        <v>616</v>
      </c>
      <c r="E38" s="49" t="s">
        <v>241</v>
      </c>
      <c r="F38" s="49"/>
      <c r="G38" s="49" t="s">
        <v>35</v>
      </c>
      <c r="H38" s="49">
        <v>500</v>
      </c>
      <c r="I38" s="55"/>
      <c r="J38" s="49" t="s">
        <v>43</v>
      </c>
      <c r="K38" s="49" t="s">
        <v>37</v>
      </c>
    </row>
    <row r="39" spans="1:11" ht="15.75" customHeight="1">
      <c r="A39" s="49">
        <v>1</v>
      </c>
      <c r="B39" s="49" t="s">
        <v>1948</v>
      </c>
      <c r="C39" s="49" t="s">
        <v>227</v>
      </c>
      <c r="D39" s="49" t="s">
        <v>616</v>
      </c>
      <c r="E39" s="49" t="s">
        <v>241</v>
      </c>
      <c r="F39" s="49"/>
      <c r="G39" s="49" t="s">
        <v>35</v>
      </c>
      <c r="H39" s="49">
        <v>500</v>
      </c>
      <c r="I39" s="55"/>
      <c r="J39" s="49" t="s">
        <v>43</v>
      </c>
      <c r="K39" s="49" t="s">
        <v>37</v>
      </c>
    </row>
    <row r="40" spans="1:11" ht="15.75" customHeight="1">
      <c r="A40" s="49">
        <v>1</v>
      </c>
      <c r="B40" s="49" t="s">
        <v>1949</v>
      </c>
      <c r="C40" s="49" t="s">
        <v>227</v>
      </c>
      <c r="D40" s="49" t="s">
        <v>616</v>
      </c>
      <c r="E40" s="49" t="s">
        <v>241</v>
      </c>
      <c r="F40" s="49"/>
      <c r="G40" s="49" t="s">
        <v>35</v>
      </c>
      <c r="H40" s="49">
        <v>500</v>
      </c>
      <c r="I40" s="55"/>
      <c r="J40" s="49" t="s">
        <v>43</v>
      </c>
      <c r="K40" s="49" t="s">
        <v>37</v>
      </c>
    </row>
    <row r="41" spans="1:11" ht="15.75" customHeight="1">
      <c r="A41" s="49">
        <v>1</v>
      </c>
      <c r="B41" s="49" t="s">
        <v>1950</v>
      </c>
      <c r="C41" s="49" t="s">
        <v>227</v>
      </c>
      <c r="D41" s="49" t="s">
        <v>323</v>
      </c>
      <c r="E41" s="49" t="s">
        <v>232</v>
      </c>
      <c r="F41" s="49"/>
      <c r="G41" s="49" t="s">
        <v>35</v>
      </c>
      <c r="H41" s="50">
        <v>1000</v>
      </c>
      <c r="I41" s="55">
        <v>200</v>
      </c>
      <c r="J41" s="49" t="s">
        <v>36</v>
      </c>
      <c r="K41" s="49" t="s">
        <v>37</v>
      </c>
    </row>
    <row r="42" spans="1:11" ht="15.75" customHeight="1">
      <c r="A42" s="49">
        <v>1</v>
      </c>
      <c r="B42" s="49" t="s">
        <v>1951</v>
      </c>
      <c r="C42" s="49" t="s">
        <v>227</v>
      </c>
      <c r="D42" s="49" t="s">
        <v>1952</v>
      </c>
      <c r="E42" s="49" t="s">
        <v>254</v>
      </c>
      <c r="F42" s="49"/>
      <c r="G42" s="49" t="s">
        <v>35</v>
      </c>
      <c r="H42" s="49">
        <v>100</v>
      </c>
      <c r="I42" s="55">
        <v>20</v>
      </c>
      <c r="J42" s="49" t="s">
        <v>36</v>
      </c>
      <c r="K42" s="49" t="s">
        <v>37</v>
      </c>
    </row>
    <row r="43" spans="1:11" ht="15.75" customHeight="1">
      <c r="A43" s="49">
        <v>1</v>
      </c>
      <c r="B43" s="49" t="s">
        <v>1951</v>
      </c>
      <c r="C43" s="49" t="s">
        <v>227</v>
      </c>
      <c r="D43" s="49" t="s">
        <v>1952</v>
      </c>
      <c r="E43" s="49" t="s">
        <v>254</v>
      </c>
      <c r="F43" s="49"/>
      <c r="G43" s="49" t="s">
        <v>170</v>
      </c>
      <c r="H43" s="49">
        <v>100</v>
      </c>
      <c r="I43" s="55">
        <v>60</v>
      </c>
      <c r="J43" s="49" t="s">
        <v>36</v>
      </c>
      <c r="K43" s="49" t="s">
        <v>37</v>
      </c>
    </row>
    <row r="44" spans="1:11" ht="15.75" customHeight="1">
      <c r="A44" s="49">
        <v>1</v>
      </c>
      <c r="B44" s="49" t="s">
        <v>1951</v>
      </c>
      <c r="C44" s="49" t="s">
        <v>227</v>
      </c>
      <c r="D44" s="49" t="s">
        <v>1952</v>
      </c>
      <c r="E44" s="49" t="s">
        <v>254</v>
      </c>
      <c r="F44" s="49"/>
      <c r="G44" s="49" t="s">
        <v>242</v>
      </c>
      <c r="H44" s="49">
        <v>30</v>
      </c>
      <c r="I44" s="55">
        <v>90</v>
      </c>
      <c r="J44" s="49" t="s">
        <v>36</v>
      </c>
      <c r="K44" s="49" t="s">
        <v>37</v>
      </c>
    </row>
    <row r="45" spans="1:11" ht="15.75" customHeight="1">
      <c r="A45" s="49">
        <v>2</v>
      </c>
      <c r="B45" s="49" t="s">
        <v>1953</v>
      </c>
      <c r="C45" s="49" t="s">
        <v>227</v>
      </c>
      <c r="D45" s="49" t="s">
        <v>164</v>
      </c>
      <c r="E45" s="49" t="s">
        <v>321</v>
      </c>
      <c r="F45" s="49"/>
      <c r="G45" s="49" t="s">
        <v>170</v>
      </c>
      <c r="H45" s="50">
        <v>1000</v>
      </c>
      <c r="I45" s="55">
        <v>600</v>
      </c>
      <c r="J45" s="49" t="s">
        <v>36</v>
      </c>
      <c r="K45" s="49" t="s">
        <v>37</v>
      </c>
    </row>
    <row r="46" spans="1:11" ht="15.75" customHeight="1">
      <c r="A46" s="49">
        <v>2</v>
      </c>
      <c r="B46" s="49" t="s">
        <v>1954</v>
      </c>
      <c r="C46" s="49" t="s">
        <v>227</v>
      </c>
      <c r="D46" s="49" t="s">
        <v>1955</v>
      </c>
      <c r="E46" s="49" t="s">
        <v>173</v>
      </c>
      <c r="F46" s="49"/>
      <c r="G46" s="49" t="s">
        <v>35</v>
      </c>
      <c r="H46" s="50">
        <v>2000</v>
      </c>
      <c r="I46" s="55"/>
      <c r="J46" s="49" t="s">
        <v>43</v>
      </c>
      <c r="K46" s="49" t="s">
        <v>37</v>
      </c>
    </row>
    <row r="47" spans="1:11" ht="15.75" customHeight="1">
      <c r="A47" s="49">
        <v>2</v>
      </c>
      <c r="B47" s="49" t="s">
        <v>1956</v>
      </c>
      <c r="C47" s="49" t="s">
        <v>227</v>
      </c>
      <c r="D47" s="49" t="s">
        <v>290</v>
      </c>
      <c r="E47" s="49" t="s">
        <v>232</v>
      </c>
      <c r="F47" s="49"/>
      <c r="G47" s="49" t="s">
        <v>35</v>
      </c>
      <c r="H47" s="50">
        <v>2000</v>
      </c>
      <c r="I47" s="55">
        <v>400</v>
      </c>
      <c r="J47" s="49" t="s">
        <v>36</v>
      </c>
      <c r="K47" s="49" t="s">
        <v>37</v>
      </c>
    </row>
    <row r="48" spans="1:11" ht="15.75" customHeight="1">
      <c r="A48" s="49">
        <v>2</v>
      </c>
      <c r="B48" s="49" t="s">
        <v>1957</v>
      </c>
      <c r="C48" s="49" t="s">
        <v>227</v>
      </c>
      <c r="D48" s="49" t="s">
        <v>396</v>
      </c>
      <c r="E48" s="49" t="s">
        <v>75</v>
      </c>
      <c r="F48" s="49"/>
      <c r="G48" s="49" t="s">
        <v>35</v>
      </c>
      <c r="H48" s="49">
        <v>100</v>
      </c>
      <c r="I48" s="55">
        <v>40</v>
      </c>
      <c r="J48" s="49" t="s">
        <v>36</v>
      </c>
      <c r="K48" s="49" t="s">
        <v>37</v>
      </c>
    </row>
    <row r="49" spans="1:11" ht="15.75" customHeight="1">
      <c r="A49" s="49">
        <v>2</v>
      </c>
      <c r="B49" s="49" t="s">
        <v>1957</v>
      </c>
      <c r="C49" s="49" t="s">
        <v>227</v>
      </c>
      <c r="D49" s="49" t="s">
        <v>396</v>
      </c>
      <c r="E49" s="49" t="s">
        <v>75</v>
      </c>
      <c r="F49" s="49"/>
      <c r="G49" s="49" t="s">
        <v>170</v>
      </c>
      <c r="H49" s="49">
        <v>100</v>
      </c>
      <c r="I49" s="55">
        <v>60</v>
      </c>
      <c r="J49" s="49" t="s">
        <v>36</v>
      </c>
      <c r="K49" s="49" t="s">
        <v>37</v>
      </c>
    </row>
    <row r="50" spans="1:11" ht="15.75" customHeight="1">
      <c r="A50" s="49">
        <v>2</v>
      </c>
      <c r="B50" s="49" t="s">
        <v>1957</v>
      </c>
      <c r="C50" s="49" t="s">
        <v>227</v>
      </c>
      <c r="D50" s="49" t="s">
        <v>396</v>
      </c>
      <c r="E50" s="49" t="s">
        <v>75</v>
      </c>
      <c r="F50" s="49"/>
      <c r="G50" s="49" t="s">
        <v>242</v>
      </c>
      <c r="H50" s="49">
        <v>30</v>
      </c>
      <c r="I50" s="55">
        <v>90</v>
      </c>
      <c r="J50" s="49" t="s">
        <v>36</v>
      </c>
      <c r="K50" s="49" t="s">
        <v>37</v>
      </c>
    </row>
    <row r="51" spans="1:11" ht="15.75" customHeight="1">
      <c r="A51" s="49">
        <v>2</v>
      </c>
      <c r="B51" s="49" t="s">
        <v>1958</v>
      </c>
      <c r="C51" s="49" t="s">
        <v>227</v>
      </c>
      <c r="D51" s="49" t="s">
        <v>198</v>
      </c>
      <c r="E51" s="49" t="s">
        <v>1446</v>
      </c>
      <c r="F51" s="49"/>
      <c r="G51" s="49" t="s">
        <v>35</v>
      </c>
      <c r="H51" s="49">
        <v>400</v>
      </c>
      <c r="I51" s="55">
        <v>160</v>
      </c>
      <c r="J51" s="49" t="s">
        <v>36</v>
      </c>
      <c r="K51" s="49" t="s">
        <v>37</v>
      </c>
    </row>
    <row r="52" spans="1:11" ht="15.75" customHeight="1">
      <c r="A52" s="49">
        <v>2</v>
      </c>
      <c r="B52" s="49" t="s">
        <v>1959</v>
      </c>
      <c r="C52" s="49" t="s">
        <v>227</v>
      </c>
      <c r="D52" s="49" t="s">
        <v>1855</v>
      </c>
      <c r="E52" s="49" t="s">
        <v>307</v>
      </c>
      <c r="F52" s="49"/>
      <c r="G52" s="49" t="s">
        <v>35</v>
      </c>
      <c r="H52" s="49">
        <v>400</v>
      </c>
      <c r="I52" s="55">
        <v>80</v>
      </c>
      <c r="J52" s="49" t="s">
        <v>36</v>
      </c>
      <c r="K52" s="49" t="s">
        <v>37</v>
      </c>
    </row>
    <row r="53" spans="1:11" ht="15.75" customHeight="1">
      <c r="A53" s="49">
        <v>2</v>
      </c>
      <c r="B53" s="49" t="s">
        <v>1960</v>
      </c>
      <c r="C53" s="49" t="s">
        <v>227</v>
      </c>
      <c r="D53" s="49" t="s">
        <v>40</v>
      </c>
      <c r="E53" s="49" t="s">
        <v>232</v>
      </c>
      <c r="F53" s="49"/>
      <c r="G53" s="49" t="s">
        <v>170</v>
      </c>
      <c r="H53" s="49">
        <v>200</v>
      </c>
      <c r="I53" s="55">
        <v>120</v>
      </c>
      <c r="J53" s="49" t="s">
        <v>36</v>
      </c>
      <c r="K53" s="49" t="s">
        <v>37</v>
      </c>
    </row>
    <row r="54" spans="1:11" ht="15.75" customHeight="1">
      <c r="A54" s="49">
        <v>2</v>
      </c>
      <c r="B54" s="49" t="s">
        <v>1961</v>
      </c>
      <c r="C54" s="49" t="s">
        <v>227</v>
      </c>
      <c r="D54" s="49" t="s">
        <v>598</v>
      </c>
      <c r="E54" s="49" t="s">
        <v>232</v>
      </c>
      <c r="F54" s="49"/>
      <c r="G54" s="49" t="s">
        <v>35</v>
      </c>
      <c r="H54" s="49">
        <v>300</v>
      </c>
      <c r="I54" s="55">
        <v>120</v>
      </c>
      <c r="J54" s="49" t="s">
        <v>36</v>
      </c>
      <c r="K54" s="49" t="s">
        <v>37</v>
      </c>
    </row>
    <row r="55" spans="1:11" ht="15.75" customHeight="1">
      <c r="A55" s="49">
        <v>3</v>
      </c>
      <c r="B55" s="49" t="s">
        <v>1962</v>
      </c>
      <c r="C55" s="49" t="s">
        <v>227</v>
      </c>
      <c r="D55" s="49" t="s">
        <v>239</v>
      </c>
      <c r="E55" s="49" t="s">
        <v>285</v>
      </c>
      <c r="F55" s="49"/>
      <c r="G55" s="49" t="s">
        <v>35</v>
      </c>
      <c r="H55" s="49">
        <v>500</v>
      </c>
      <c r="I55" s="55">
        <v>150</v>
      </c>
      <c r="J55" s="49" t="s">
        <v>36</v>
      </c>
      <c r="K55" s="49" t="s">
        <v>37</v>
      </c>
    </row>
    <row r="56" spans="1:11" ht="15.75" customHeight="1">
      <c r="A56" s="49">
        <v>3</v>
      </c>
      <c r="B56" s="49" t="s">
        <v>1963</v>
      </c>
      <c r="C56" s="49" t="s">
        <v>227</v>
      </c>
      <c r="D56" s="49" t="s">
        <v>247</v>
      </c>
      <c r="E56" s="49" t="s">
        <v>307</v>
      </c>
      <c r="F56" s="49"/>
      <c r="G56" s="49" t="s">
        <v>35</v>
      </c>
      <c r="H56" s="49">
        <v>500</v>
      </c>
      <c r="I56" s="55">
        <v>100</v>
      </c>
      <c r="J56" s="49" t="s">
        <v>36</v>
      </c>
      <c r="K56" s="49" t="s">
        <v>37</v>
      </c>
    </row>
    <row r="57" spans="1:11" ht="15.75" customHeight="1">
      <c r="A57" s="49">
        <v>3</v>
      </c>
      <c r="B57" s="49" t="s">
        <v>1964</v>
      </c>
      <c r="C57" s="49" t="s">
        <v>246</v>
      </c>
      <c r="D57" s="49" t="s">
        <v>1965</v>
      </c>
      <c r="E57" s="49" t="s">
        <v>152</v>
      </c>
      <c r="F57" s="49"/>
      <c r="G57" s="49" t="s">
        <v>35</v>
      </c>
      <c r="H57" s="49">
        <v>100</v>
      </c>
      <c r="I57" s="55">
        <v>20</v>
      </c>
      <c r="J57" s="49" t="s">
        <v>36</v>
      </c>
      <c r="K57" s="49" t="s">
        <v>37</v>
      </c>
    </row>
    <row r="58" spans="1:11" ht="15.75" customHeight="1">
      <c r="A58" s="49">
        <v>3</v>
      </c>
      <c r="B58" s="49" t="s">
        <v>1964</v>
      </c>
      <c r="C58" s="49" t="s">
        <v>246</v>
      </c>
      <c r="D58" s="49" t="s">
        <v>1965</v>
      </c>
      <c r="E58" s="49" t="s">
        <v>152</v>
      </c>
      <c r="F58" s="49"/>
      <c r="G58" s="49" t="s">
        <v>170</v>
      </c>
      <c r="H58" s="49">
        <v>200</v>
      </c>
      <c r="I58" s="55">
        <v>120</v>
      </c>
      <c r="J58" s="49" t="s">
        <v>36</v>
      </c>
      <c r="K58" s="49" t="s">
        <v>37</v>
      </c>
    </row>
    <row r="59" spans="1:11" ht="15.75" customHeight="1">
      <c r="A59" s="49">
        <v>3</v>
      </c>
      <c r="B59" s="49" t="s">
        <v>1966</v>
      </c>
      <c r="C59" s="49" t="s">
        <v>246</v>
      </c>
      <c r="D59" s="49" t="s">
        <v>342</v>
      </c>
      <c r="E59" s="49" t="s">
        <v>307</v>
      </c>
      <c r="F59" s="49"/>
      <c r="G59" s="49" t="s">
        <v>35</v>
      </c>
      <c r="H59" s="49">
        <v>600</v>
      </c>
      <c r="I59" s="55">
        <v>120</v>
      </c>
      <c r="J59" s="49" t="s">
        <v>36</v>
      </c>
      <c r="K59" s="49" t="s">
        <v>37</v>
      </c>
    </row>
    <row r="60" spans="1:11" ht="15.75" customHeight="1">
      <c r="A60" s="49">
        <v>3</v>
      </c>
      <c r="B60" s="49" t="s">
        <v>1966</v>
      </c>
      <c r="C60" s="49" t="s">
        <v>246</v>
      </c>
      <c r="D60" s="49" t="s">
        <v>342</v>
      </c>
      <c r="E60" s="49" t="s">
        <v>307</v>
      </c>
      <c r="F60" s="49"/>
      <c r="G60" s="49" t="s">
        <v>170</v>
      </c>
      <c r="H60" s="49">
        <v>200</v>
      </c>
      <c r="I60" s="55">
        <v>120</v>
      </c>
      <c r="J60" s="49" t="s">
        <v>36</v>
      </c>
      <c r="K60" s="49" t="s">
        <v>37</v>
      </c>
    </row>
    <row r="61" spans="1:11" ht="15.75" customHeight="1">
      <c r="A61" s="49">
        <v>3</v>
      </c>
      <c r="B61" s="49" t="s">
        <v>1551</v>
      </c>
      <c r="C61" s="49" t="s">
        <v>227</v>
      </c>
      <c r="D61" s="49" t="s">
        <v>1967</v>
      </c>
      <c r="E61" s="49" t="s">
        <v>164</v>
      </c>
      <c r="F61" s="49"/>
      <c r="G61" s="49" t="s">
        <v>35</v>
      </c>
      <c r="H61" s="49">
        <v>500</v>
      </c>
      <c r="I61" s="55">
        <v>100</v>
      </c>
      <c r="J61" s="49" t="s">
        <v>36</v>
      </c>
      <c r="K61" s="49" t="s">
        <v>37</v>
      </c>
    </row>
    <row r="62" spans="1:11" ht="15.75" customHeight="1">
      <c r="A62" s="49">
        <v>3</v>
      </c>
      <c r="B62" s="49" t="s">
        <v>1968</v>
      </c>
      <c r="C62" s="49" t="s">
        <v>227</v>
      </c>
      <c r="D62" s="49" t="s">
        <v>1097</v>
      </c>
      <c r="E62" s="49" t="s">
        <v>51</v>
      </c>
      <c r="F62" s="49"/>
      <c r="G62" s="49" t="s">
        <v>170</v>
      </c>
      <c r="H62" s="49">
        <v>100</v>
      </c>
      <c r="I62" s="55">
        <v>60</v>
      </c>
      <c r="J62" s="49" t="s">
        <v>36</v>
      </c>
      <c r="K62" s="49" t="s">
        <v>37</v>
      </c>
    </row>
    <row r="63" spans="1:11" ht="15.75" customHeight="1">
      <c r="A63" s="49">
        <v>3</v>
      </c>
      <c r="B63" s="49" t="s">
        <v>1969</v>
      </c>
      <c r="C63" s="49" t="s">
        <v>246</v>
      </c>
      <c r="D63" s="49" t="s">
        <v>345</v>
      </c>
      <c r="E63" s="49" t="s">
        <v>41</v>
      </c>
      <c r="F63" s="49"/>
      <c r="G63" s="49" t="s">
        <v>35</v>
      </c>
      <c r="H63" s="49">
        <v>500</v>
      </c>
      <c r="I63" s="55">
        <v>100</v>
      </c>
      <c r="J63" s="49" t="s">
        <v>36</v>
      </c>
      <c r="K63" s="49" t="s">
        <v>37</v>
      </c>
    </row>
    <row r="64" spans="1:11" ht="15.75" customHeight="1">
      <c r="A64" s="49">
        <v>3</v>
      </c>
      <c r="B64" s="49" t="s">
        <v>1970</v>
      </c>
      <c r="C64" s="49" t="s">
        <v>227</v>
      </c>
      <c r="D64" s="49" t="s">
        <v>321</v>
      </c>
      <c r="E64" s="49" t="s">
        <v>251</v>
      </c>
      <c r="F64" s="49"/>
      <c r="G64" s="49" t="s">
        <v>35</v>
      </c>
      <c r="H64" s="49">
        <v>50</v>
      </c>
      <c r="I64" s="55">
        <v>25</v>
      </c>
      <c r="J64" s="49" t="s">
        <v>36</v>
      </c>
      <c r="K64" s="49" t="s">
        <v>37</v>
      </c>
    </row>
    <row r="65" spans="1:15" ht="15.75" customHeight="1">
      <c r="A65" s="49">
        <v>3</v>
      </c>
      <c r="B65" s="49" t="s">
        <v>1971</v>
      </c>
      <c r="C65" s="49" t="s">
        <v>227</v>
      </c>
      <c r="D65" s="49" t="s">
        <v>1353</v>
      </c>
      <c r="E65" s="49" t="s">
        <v>232</v>
      </c>
      <c r="F65" s="49"/>
      <c r="G65" s="49" t="s">
        <v>35</v>
      </c>
      <c r="H65" s="49">
        <v>500</v>
      </c>
      <c r="I65" s="55">
        <v>100</v>
      </c>
      <c r="J65" s="49" t="s">
        <v>36</v>
      </c>
      <c r="K65" s="49" t="s">
        <v>37</v>
      </c>
    </row>
    <row r="66" spans="1:15" ht="15.75" customHeight="1">
      <c r="A66" s="49">
        <v>3</v>
      </c>
      <c r="B66" s="49" t="s">
        <v>1971</v>
      </c>
      <c r="C66" s="49" t="s">
        <v>227</v>
      </c>
      <c r="D66" s="49" t="s">
        <v>1353</v>
      </c>
      <c r="E66" s="49" t="s">
        <v>232</v>
      </c>
      <c r="F66" s="49"/>
      <c r="G66" s="49" t="s">
        <v>170</v>
      </c>
      <c r="H66" s="49">
        <v>100</v>
      </c>
      <c r="I66" s="55">
        <v>60</v>
      </c>
      <c r="J66" s="49" t="s">
        <v>36</v>
      </c>
      <c r="K66" s="49" t="s">
        <v>37</v>
      </c>
    </row>
    <row r="67" spans="1:15" ht="15.75" customHeight="1">
      <c r="A67" s="49">
        <v>3</v>
      </c>
      <c r="B67" s="49" t="s">
        <v>1972</v>
      </c>
      <c r="C67" s="49" t="s">
        <v>246</v>
      </c>
      <c r="D67" s="49" t="s">
        <v>1973</v>
      </c>
      <c r="E67" s="49" t="s">
        <v>1679</v>
      </c>
      <c r="F67" s="49"/>
      <c r="G67" s="49" t="s">
        <v>35</v>
      </c>
      <c r="H67" s="49">
        <v>500</v>
      </c>
      <c r="I67" s="55"/>
      <c r="J67" s="49" t="s">
        <v>43</v>
      </c>
      <c r="K67" s="49" t="s">
        <v>37</v>
      </c>
    </row>
    <row r="68" spans="1:15" ht="15.75" customHeight="1">
      <c r="A68" s="49">
        <v>4</v>
      </c>
      <c r="B68" s="49" t="s">
        <v>1974</v>
      </c>
      <c r="C68" s="49" t="s">
        <v>227</v>
      </c>
      <c r="D68" s="49" t="s">
        <v>792</v>
      </c>
      <c r="E68" s="49" t="s">
        <v>722</v>
      </c>
      <c r="F68" s="49"/>
      <c r="G68" s="49" t="s">
        <v>35</v>
      </c>
      <c r="H68" s="49">
        <v>500</v>
      </c>
      <c r="I68" s="55">
        <v>150</v>
      </c>
      <c r="J68" s="49" t="s">
        <v>36</v>
      </c>
      <c r="K68" s="49" t="s">
        <v>37</v>
      </c>
    </row>
    <row r="69" spans="1:15" ht="15.75" customHeight="1">
      <c r="A69" s="49">
        <v>4</v>
      </c>
      <c r="B69" s="49" t="s">
        <v>1975</v>
      </c>
      <c r="C69" s="49" t="s">
        <v>227</v>
      </c>
      <c r="D69" s="49" t="s">
        <v>231</v>
      </c>
      <c r="E69" s="49" t="s">
        <v>232</v>
      </c>
      <c r="F69" s="49"/>
      <c r="G69" s="49" t="s">
        <v>35</v>
      </c>
      <c r="H69" s="49">
        <v>400</v>
      </c>
      <c r="I69" s="55">
        <v>120</v>
      </c>
      <c r="J69" s="49" t="s">
        <v>36</v>
      </c>
      <c r="K69" s="49" t="s">
        <v>37</v>
      </c>
    </row>
    <row r="70" spans="1:15" ht="15.75" customHeight="1">
      <c r="A70" s="49">
        <v>4</v>
      </c>
      <c r="B70" s="49" t="s">
        <v>1975</v>
      </c>
      <c r="C70" s="49" t="s">
        <v>227</v>
      </c>
      <c r="D70" s="49" t="s">
        <v>231</v>
      </c>
      <c r="E70" s="49" t="s">
        <v>232</v>
      </c>
      <c r="F70" s="49"/>
      <c r="G70" s="49" t="s">
        <v>35</v>
      </c>
      <c r="H70" s="49">
        <v>500</v>
      </c>
      <c r="I70" s="55"/>
      <c r="J70" s="49" t="s">
        <v>43</v>
      </c>
      <c r="K70" s="49" t="s">
        <v>37</v>
      </c>
    </row>
    <row r="71" spans="1:15" ht="15.75" customHeight="1">
      <c r="A71" s="49">
        <v>4</v>
      </c>
      <c r="B71" s="49" t="s">
        <v>1975</v>
      </c>
      <c r="C71" s="49" t="s">
        <v>227</v>
      </c>
      <c r="D71" s="49" t="s">
        <v>231</v>
      </c>
      <c r="E71" s="49" t="s">
        <v>232</v>
      </c>
      <c r="F71" s="49"/>
      <c r="G71" s="49" t="s">
        <v>170</v>
      </c>
      <c r="H71" s="49">
        <v>100</v>
      </c>
      <c r="I71" s="55">
        <v>60</v>
      </c>
      <c r="J71" s="49" t="s">
        <v>36</v>
      </c>
      <c r="K71" s="49" t="s">
        <v>37</v>
      </c>
    </row>
    <row r="72" spans="1:15" ht="15.75" customHeight="1">
      <c r="A72" s="49">
        <v>4</v>
      </c>
      <c r="B72" s="49" t="s">
        <v>876</v>
      </c>
      <c r="C72" s="49" t="s">
        <v>227</v>
      </c>
      <c r="D72" s="49" t="s">
        <v>740</v>
      </c>
      <c r="E72" s="49" t="s">
        <v>251</v>
      </c>
      <c r="F72" s="49"/>
      <c r="G72" s="49" t="s">
        <v>242</v>
      </c>
      <c r="H72" s="49">
        <v>100</v>
      </c>
      <c r="I72" s="55">
        <v>300</v>
      </c>
      <c r="J72" s="49" t="s">
        <v>36</v>
      </c>
      <c r="K72" s="49" t="s">
        <v>37</v>
      </c>
    </row>
    <row r="73" spans="1:15" ht="15.75" customHeight="1">
      <c r="A73" s="49">
        <v>4</v>
      </c>
      <c r="B73" s="49" t="s">
        <v>1976</v>
      </c>
      <c r="C73" s="49" t="s">
        <v>246</v>
      </c>
      <c r="D73" s="49" t="s">
        <v>1977</v>
      </c>
      <c r="E73" s="49" t="s">
        <v>600</v>
      </c>
      <c r="F73" s="49"/>
      <c r="G73" s="49" t="s">
        <v>35</v>
      </c>
      <c r="H73" s="49">
        <v>100</v>
      </c>
      <c r="I73" s="55">
        <v>30</v>
      </c>
      <c r="J73" s="49" t="s">
        <v>36</v>
      </c>
      <c r="K73" s="49" t="s">
        <v>37</v>
      </c>
    </row>
    <row r="74" spans="1:15" ht="15.75" customHeight="1">
      <c r="A74" s="49">
        <v>4</v>
      </c>
      <c r="B74" s="49" t="s">
        <v>1976</v>
      </c>
      <c r="C74" s="49" t="s">
        <v>246</v>
      </c>
      <c r="D74" s="49" t="s">
        <v>1977</v>
      </c>
      <c r="E74" s="49" t="s">
        <v>600</v>
      </c>
      <c r="F74" s="49"/>
      <c r="G74" s="49" t="s">
        <v>242</v>
      </c>
      <c r="H74" s="49">
        <v>15</v>
      </c>
      <c r="I74" s="55">
        <v>45</v>
      </c>
      <c r="J74" s="49" t="s">
        <v>36</v>
      </c>
      <c r="K74" s="49" t="s">
        <v>37</v>
      </c>
    </row>
    <row r="75" spans="1:15" ht="15.75" customHeight="1">
      <c r="A75" s="49">
        <v>4</v>
      </c>
      <c r="B75" s="49" t="s">
        <v>1978</v>
      </c>
      <c r="C75" s="49" t="s">
        <v>227</v>
      </c>
      <c r="D75" s="49" t="s">
        <v>1030</v>
      </c>
      <c r="E75" s="49" t="s">
        <v>307</v>
      </c>
      <c r="F75" s="49"/>
      <c r="G75" s="49" t="s">
        <v>35</v>
      </c>
      <c r="H75" s="49">
        <v>600</v>
      </c>
      <c r="I75" s="55">
        <v>180</v>
      </c>
      <c r="J75" s="49" t="s">
        <v>36</v>
      </c>
      <c r="K75" s="49" t="s">
        <v>37</v>
      </c>
      <c r="O75" s="4"/>
    </row>
    <row r="76" spans="1:15" ht="15.75" customHeight="1">
      <c r="A76" s="49">
        <v>4</v>
      </c>
      <c r="B76" s="49" t="s">
        <v>1978</v>
      </c>
      <c r="C76" s="49" t="s">
        <v>227</v>
      </c>
      <c r="D76" s="49" t="s">
        <v>1030</v>
      </c>
      <c r="E76" s="49" t="s">
        <v>307</v>
      </c>
      <c r="F76" s="49"/>
      <c r="G76" s="49" t="s">
        <v>170</v>
      </c>
      <c r="H76" s="49">
        <v>200</v>
      </c>
      <c r="I76" s="55">
        <v>120</v>
      </c>
      <c r="J76" s="49" t="s">
        <v>36</v>
      </c>
      <c r="K76" s="49" t="s">
        <v>37</v>
      </c>
    </row>
    <row r="77" spans="1:15" ht="15.75" customHeight="1">
      <c r="A77" s="49">
        <v>4</v>
      </c>
      <c r="B77" s="49" t="s">
        <v>1979</v>
      </c>
      <c r="C77" s="49" t="s">
        <v>227</v>
      </c>
      <c r="D77" s="49" t="s">
        <v>40</v>
      </c>
      <c r="E77" s="49" t="s">
        <v>232</v>
      </c>
      <c r="F77" s="49"/>
      <c r="G77" s="49" t="s">
        <v>35</v>
      </c>
      <c r="H77" s="49">
        <v>700</v>
      </c>
      <c r="I77" s="55">
        <v>140</v>
      </c>
      <c r="J77" s="49" t="s">
        <v>36</v>
      </c>
      <c r="K77" s="49" t="s">
        <v>37</v>
      </c>
    </row>
    <row r="78" spans="1:15" ht="15.75" customHeight="1">
      <c r="A78" s="49">
        <v>4</v>
      </c>
      <c r="B78" s="49" t="s">
        <v>1746</v>
      </c>
      <c r="C78" s="49" t="s">
        <v>227</v>
      </c>
      <c r="D78" s="49" t="s">
        <v>323</v>
      </c>
      <c r="E78" s="49" t="s">
        <v>232</v>
      </c>
      <c r="F78" s="49"/>
      <c r="G78" s="49" t="s">
        <v>35</v>
      </c>
      <c r="H78" s="49">
        <v>700</v>
      </c>
      <c r="I78" s="55">
        <v>210</v>
      </c>
      <c r="J78" s="49" t="s">
        <v>36</v>
      </c>
      <c r="K78" s="49" t="s">
        <v>37</v>
      </c>
    </row>
    <row r="79" spans="1:15" ht="15.75" customHeight="1">
      <c r="A79" s="49">
        <v>4</v>
      </c>
      <c r="B79" s="49" t="s">
        <v>1746</v>
      </c>
      <c r="C79" s="49" t="s">
        <v>227</v>
      </c>
      <c r="D79" s="49" t="s">
        <v>323</v>
      </c>
      <c r="E79" s="49" t="s">
        <v>232</v>
      </c>
      <c r="F79" s="49"/>
      <c r="G79" s="49" t="s">
        <v>170</v>
      </c>
      <c r="H79" s="49">
        <v>100</v>
      </c>
      <c r="I79" s="55">
        <v>60</v>
      </c>
      <c r="J79" s="49" t="s">
        <v>36</v>
      </c>
      <c r="K79" s="49" t="s">
        <v>37</v>
      </c>
    </row>
    <row r="80" spans="1:15" ht="15.75" customHeight="1">
      <c r="A80" s="49">
        <v>4</v>
      </c>
      <c r="B80" s="49" t="s">
        <v>1980</v>
      </c>
      <c r="C80" s="49" t="s">
        <v>227</v>
      </c>
      <c r="D80" s="49" t="s">
        <v>1981</v>
      </c>
      <c r="E80" s="49" t="s">
        <v>51</v>
      </c>
      <c r="F80" s="49"/>
      <c r="G80" s="49" t="s">
        <v>35</v>
      </c>
      <c r="H80" s="50">
        <v>1100</v>
      </c>
      <c r="I80" s="55">
        <v>330</v>
      </c>
      <c r="J80" s="49" t="s">
        <v>36</v>
      </c>
      <c r="K80" s="49" t="s">
        <v>37</v>
      </c>
    </row>
    <row r="81" spans="1:11" ht="15.75" customHeight="1">
      <c r="A81" s="49">
        <v>4</v>
      </c>
      <c r="B81" s="49" t="s">
        <v>1982</v>
      </c>
      <c r="C81" s="49" t="s">
        <v>227</v>
      </c>
      <c r="D81" s="49" t="s">
        <v>421</v>
      </c>
      <c r="E81" s="49" t="s">
        <v>251</v>
      </c>
      <c r="F81" s="49"/>
      <c r="G81" s="49" t="s">
        <v>35</v>
      </c>
      <c r="H81" s="49">
        <v>100</v>
      </c>
      <c r="I81" s="55">
        <v>30</v>
      </c>
      <c r="J81" s="49" t="s">
        <v>36</v>
      </c>
      <c r="K81" s="49" t="s">
        <v>37</v>
      </c>
    </row>
    <row r="82" spans="1:11" ht="15.75" customHeight="1">
      <c r="A82" s="49">
        <v>4</v>
      </c>
      <c r="B82" s="49" t="s">
        <v>1982</v>
      </c>
      <c r="C82" s="49" t="s">
        <v>227</v>
      </c>
      <c r="D82" s="49" t="s">
        <v>421</v>
      </c>
      <c r="E82" s="49" t="s">
        <v>251</v>
      </c>
      <c r="F82" s="49"/>
      <c r="G82" s="49" t="s">
        <v>170</v>
      </c>
      <c r="H82" s="49">
        <v>200</v>
      </c>
      <c r="I82" s="55">
        <v>120</v>
      </c>
      <c r="J82" s="49" t="s">
        <v>36</v>
      </c>
      <c r="K82" s="49" t="s">
        <v>37</v>
      </c>
    </row>
    <row r="83" spans="1:11" ht="15.75" customHeight="1">
      <c r="A83" s="49">
        <v>4</v>
      </c>
      <c r="B83" s="49" t="s">
        <v>1983</v>
      </c>
      <c r="C83" s="49" t="s">
        <v>227</v>
      </c>
      <c r="D83" s="49" t="s">
        <v>164</v>
      </c>
      <c r="E83" s="49" t="s">
        <v>321</v>
      </c>
      <c r="F83" s="49"/>
      <c r="G83" s="49" t="s">
        <v>35</v>
      </c>
      <c r="H83" s="49">
        <v>400</v>
      </c>
      <c r="I83" s="55">
        <v>120</v>
      </c>
      <c r="J83" s="49" t="s">
        <v>36</v>
      </c>
      <c r="K83" s="49" t="s">
        <v>37</v>
      </c>
    </row>
    <row r="84" spans="1:11" ht="15.75" customHeight="1">
      <c r="A84" s="49">
        <v>4</v>
      </c>
      <c r="B84" s="49" t="s">
        <v>1984</v>
      </c>
      <c r="C84" s="49" t="s">
        <v>227</v>
      </c>
      <c r="D84" s="49" t="s">
        <v>323</v>
      </c>
      <c r="E84" s="49" t="s">
        <v>232</v>
      </c>
      <c r="F84" s="49"/>
      <c r="G84" s="49" t="s">
        <v>35</v>
      </c>
      <c r="H84" s="49">
        <v>500</v>
      </c>
      <c r="I84" s="55"/>
      <c r="J84" s="49" t="s">
        <v>43</v>
      </c>
      <c r="K84" s="49" t="s">
        <v>37</v>
      </c>
    </row>
    <row r="85" spans="1:11" ht="15.75" customHeight="1">
      <c r="A85" s="49">
        <v>5</v>
      </c>
      <c r="B85" s="49" t="s">
        <v>1985</v>
      </c>
      <c r="C85" s="49" t="s">
        <v>227</v>
      </c>
      <c r="D85" s="49" t="s">
        <v>198</v>
      </c>
      <c r="E85" s="49" t="s">
        <v>152</v>
      </c>
      <c r="F85" s="49"/>
      <c r="G85" s="49" t="s">
        <v>35</v>
      </c>
      <c r="H85" s="49">
        <v>600</v>
      </c>
      <c r="I85" s="55">
        <v>180</v>
      </c>
      <c r="J85" s="49" t="s">
        <v>36</v>
      </c>
      <c r="K85" s="49" t="s">
        <v>37</v>
      </c>
    </row>
    <row r="86" spans="1:11" ht="15.75" customHeight="1">
      <c r="A86" s="49">
        <v>5</v>
      </c>
      <c r="B86" s="49" t="s">
        <v>1986</v>
      </c>
      <c r="C86" s="49" t="s">
        <v>227</v>
      </c>
      <c r="D86" s="49" t="s">
        <v>719</v>
      </c>
      <c r="E86" s="49" t="s">
        <v>254</v>
      </c>
      <c r="F86" s="49"/>
      <c r="G86" s="49" t="s">
        <v>35</v>
      </c>
      <c r="H86" s="49">
        <v>250</v>
      </c>
      <c r="I86" s="55">
        <v>75</v>
      </c>
      <c r="J86" s="49" t="s">
        <v>36</v>
      </c>
      <c r="K86" s="49" t="s">
        <v>37</v>
      </c>
    </row>
    <row r="87" spans="1:11" ht="15.75" customHeight="1">
      <c r="A87" s="49">
        <v>5</v>
      </c>
      <c r="B87" s="49" t="s">
        <v>1987</v>
      </c>
      <c r="C87" s="49" t="s">
        <v>227</v>
      </c>
      <c r="D87" s="49" t="s">
        <v>198</v>
      </c>
      <c r="E87" s="49" t="s">
        <v>152</v>
      </c>
      <c r="F87" s="49"/>
      <c r="G87" s="49" t="s">
        <v>35</v>
      </c>
      <c r="H87" s="50">
        <v>1800</v>
      </c>
      <c r="I87" s="55">
        <v>540</v>
      </c>
      <c r="J87" s="49" t="s">
        <v>36</v>
      </c>
      <c r="K87" s="49" t="s">
        <v>37</v>
      </c>
    </row>
    <row r="88" spans="1:11" ht="15.75" customHeight="1">
      <c r="A88" s="49">
        <v>5</v>
      </c>
      <c r="B88" s="49" t="s">
        <v>1988</v>
      </c>
      <c r="C88" s="49" t="s">
        <v>227</v>
      </c>
      <c r="D88" s="49" t="s">
        <v>301</v>
      </c>
      <c r="E88" s="49" t="s">
        <v>51</v>
      </c>
      <c r="F88" s="49"/>
      <c r="G88" s="49" t="s">
        <v>35</v>
      </c>
      <c r="H88" s="49">
        <v>800</v>
      </c>
      <c r="I88" s="55">
        <v>160</v>
      </c>
      <c r="J88" s="49" t="s">
        <v>36</v>
      </c>
      <c r="K88" s="49" t="s">
        <v>37</v>
      </c>
    </row>
    <row r="89" spans="1:11" ht="15.75" customHeight="1">
      <c r="A89" s="49">
        <v>5</v>
      </c>
      <c r="B89" s="49" t="s">
        <v>1106</v>
      </c>
      <c r="C89" s="49" t="s">
        <v>227</v>
      </c>
      <c r="D89" s="49" t="s">
        <v>1030</v>
      </c>
      <c r="E89" s="49" t="s">
        <v>251</v>
      </c>
      <c r="F89" s="49"/>
      <c r="G89" s="49" t="s">
        <v>35</v>
      </c>
      <c r="H89" s="50">
        <v>1000</v>
      </c>
      <c r="I89" s="55">
        <v>200</v>
      </c>
      <c r="J89" s="49" t="s">
        <v>36</v>
      </c>
      <c r="K89" s="49" t="s">
        <v>37</v>
      </c>
    </row>
    <row r="90" spans="1:11" ht="15.75" customHeight="1">
      <c r="A90" s="49">
        <v>5</v>
      </c>
      <c r="B90" s="49" t="s">
        <v>1989</v>
      </c>
      <c r="C90" s="49" t="s">
        <v>227</v>
      </c>
      <c r="D90" s="49" t="s">
        <v>1990</v>
      </c>
      <c r="E90" s="49" t="s">
        <v>1679</v>
      </c>
      <c r="F90" s="49"/>
      <c r="G90" s="49" t="s">
        <v>35</v>
      </c>
      <c r="H90" s="49">
        <v>50</v>
      </c>
      <c r="I90" s="55">
        <v>10</v>
      </c>
      <c r="J90" s="49" t="s">
        <v>36</v>
      </c>
      <c r="K90" s="49" t="s">
        <v>37</v>
      </c>
    </row>
    <row r="91" spans="1:11" ht="15.75" customHeight="1">
      <c r="A91" s="49">
        <v>5</v>
      </c>
      <c r="B91" s="49" t="s">
        <v>955</v>
      </c>
      <c r="C91" s="49" t="s">
        <v>227</v>
      </c>
      <c r="D91" s="49" t="s">
        <v>272</v>
      </c>
      <c r="E91" s="49" t="s">
        <v>193</v>
      </c>
      <c r="F91" s="49"/>
      <c r="G91" s="49" t="s">
        <v>242</v>
      </c>
      <c r="H91" s="49">
        <v>200</v>
      </c>
      <c r="I91" s="55">
        <v>600</v>
      </c>
      <c r="J91" s="49" t="s">
        <v>36</v>
      </c>
      <c r="K91" s="49" t="s">
        <v>37</v>
      </c>
    </row>
    <row r="92" spans="1:11" ht="15.75" customHeight="1">
      <c r="A92" s="49">
        <v>5</v>
      </c>
      <c r="B92" s="49" t="s">
        <v>259</v>
      </c>
      <c r="C92" s="49" t="s">
        <v>227</v>
      </c>
      <c r="D92" s="49" t="s">
        <v>260</v>
      </c>
      <c r="E92" s="49" t="s">
        <v>51</v>
      </c>
      <c r="F92" s="49"/>
      <c r="G92" s="49" t="s">
        <v>35</v>
      </c>
      <c r="H92" s="49">
        <v>500</v>
      </c>
      <c r="I92" s="55">
        <v>200</v>
      </c>
      <c r="J92" s="49" t="s">
        <v>36</v>
      </c>
      <c r="K92" s="49" t="s">
        <v>37</v>
      </c>
    </row>
    <row r="93" spans="1:11" ht="15.75" customHeight="1">
      <c r="A93" s="49">
        <v>5</v>
      </c>
      <c r="B93" s="49" t="s">
        <v>1991</v>
      </c>
      <c r="C93" s="49" t="s">
        <v>227</v>
      </c>
      <c r="D93" s="49" t="s">
        <v>1030</v>
      </c>
      <c r="E93" s="49" t="s">
        <v>307</v>
      </c>
      <c r="F93" s="49"/>
      <c r="G93" s="49" t="s">
        <v>35</v>
      </c>
      <c r="H93" s="49">
        <v>600</v>
      </c>
      <c r="I93" s="55">
        <v>120</v>
      </c>
      <c r="J93" s="49" t="s">
        <v>36</v>
      </c>
      <c r="K93" s="49" t="s">
        <v>37</v>
      </c>
    </row>
    <row r="94" spans="1:11" ht="15.75" customHeight="1">
      <c r="A94" s="49">
        <v>5</v>
      </c>
      <c r="B94" s="49" t="s">
        <v>1992</v>
      </c>
      <c r="C94" s="49" t="s">
        <v>246</v>
      </c>
      <c r="D94" s="49" t="s">
        <v>971</v>
      </c>
      <c r="E94" s="49" t="s">
        <v>232</v>
      </c>
      <c r="F94" s="49"/>
      <c r="G94" s="49" t="s">
        <v>35</v>
      </c>
      <c r="H94" s="50">
        <v>1000</v>
      </c>
      <c r="I94" s="55">
        <v>400</v>
      </c>
      <c r="J94" s="49" t="s">
        <v>36</v>
      </c>
      <c r="K94" s="49" t="s">
        <v>37</v>
      </c>
    </row>
    <row r="95" spans="1:11" ht="15.75" customHeight="1">
      <c r="A95" s="49">
        <v>6</v>
      </c>
      <c r="B95" s="49" t="s">
        <v>1993</v>
      </c>
      <c r="C95" s="49" t="s">
        <v>227</v>
      </c>
      <c r="D95" s="49" t="s">
        <v>32</v>
      </c>
      <c r="E95" s="49" t="s">
        <v>232</v>
      </c>
      <c r="F95" s="49"/>
      <c r="G95" s="49" t="s">
        <v>35</v>
      </c>
      <c r="H95" s="50">
        <v>1500</v>
      </c>
      <c r="I95" s="55">
        <v>300</v>
      </c>
      <c r="J95" s="49" t="s">
        <v>36</v>
      </c>
      <c r="K95" s="49" t="s">
        <v>37</v>
      </c>
    </row>
    <row r="96" spans="1:11" ht="15.75" customHeight="1">
      <c r="A96" s="49">
        <v>6</v>
      </c>
      <c r="B96" s="49" t="s">
        <v>1994</v>
      </c>
      <c r="C96" s="49" t="s">
        <v>227</v>
      </c>
      <c r="D96" s="49" t="s">
        <v>1995</v>
      </c>
      <c r="E96" s="49" t="s">
        <v>164</v>
      </c>
      <c r="F96" s="49"/>
      <c r="G96" s="49" t="s">
        <v>35</v>
      </c>
      <c r="H96" s="50">
        <v>1000</v>
      </c>
      <c r="I96" s="55">
        <v>400</v>
      </c>
      <c r="J96" s="49" t="s">
        <v>36</v>
      </c>
      <c r="K96" s="49" t="s">
        <v>37</v>
      </c>
    </row>
    <row r="97" spans="1:11" ht="15.75" customHeight="1">
      <c r="A97" s="49">
        <v>6</v>
      </c>
      <c r="B97" s="49" t="s">
        <v>651</v>
      </c>
      <c r="C97" s="49" t="s">
        <v>227</v>
      </c>
      <c r="D97" s="49" t="s">
        <v>604</v>
      </c>
      <c r="E97" s="49" t="s">
        <v>235</v>
      </c>
      <c r="F97" s="49"/>
      <c r="G97" s="49" t="s">
        <v>120</v>
      </c>
      <c r="H97" s="49">
        <v>10</v>
      </c>
      <c r="I97" s="55">
        <v>100</v>
      </c>
      <c r="J97" s="49" t="s">
        <v>36</v>
      </c>
      <c r="K97" s="49" t="s">
        <v>37</v>
      </c>
    </row>
    <row r="98" spans="1:11" ht="15.75" customHeight="1">
      <c r="A98" s="49">
        <v>6</v>
      </c>
      <c r="B98" s="49" t="s">
        <v>1996</v>
      </c>
      <c r="C98" s="49" t="s">
        <v>227</v>
      </c>
      <c r="D98" s="49" t="s">
        <v>211</v>
      </c>
      <c r="E98" s="49" t="s">
        <v>106</v>
      </c>
      <c r="F98" s="49"/>
      <c r="G98" s="49" t="s">
        <v>242</v>
      </c>
      <c r="H98" s="49">
        <v>30</v>
      </c>
      <c r="I98" s="55">
        <v>90</v>
      </c>
      <c r="J98" s="49" t="s">
        <v>36</v>
      </c>
      <c r="K98" s="49" t="s">
        <v>37</v>
      </c>
    </row>
    <row r="99" spans="1:11" ht="15.75" customHeight="1">
      <c r="A99" s="49">
        <v>6</v>
      </c>
      <c r="B99" s="49" t="s">
        <v>1997</v>
      </c>
      <c r="C99" s="49" t="s">
        <v>227</v>
      </c>
      <c r="D99" s="49" t="s">
        <v>323</v>
      </c>
      <c r="E99" s="49" t="s">
        <v>80</v>
      </c>
      <c r="F99" s="49"/>
      <c r="G99" s="49" t="s">
        <v>35</v>
      </c>
      <c r="H99" s="50">
        <v>4000</v>
      </c>
      <c r="I99" s="55">
        <v>800</v>
      </c>
      <c r="J99" s="49" t="s">
        <v>36</v>
      </c>
      <c r="K99" s="49" t="s">
        <v>37</v>
      </c>
    </row>
    <row r="100" spans="1:11" ht="15.75" customHeight="1">
      <c r="A100" s="49">
        <v>6</v>
      </c>
      <c r="B100" s="49" t="s">
        <v>1998</v>
      </c>
      <c r="C100" s="49" t="s">
        <v>227</v>
      </c>
      <c r="D100" s="49" t="s">
        <v>297</v>
      </c>
      <c r="E100" s="49" t="s">
        <v>51</v>
      </c>
      <c r="F100" s="49"/>
      <c r="G100" s="49" t="s">
        <v>35</v>
      </c>
      <c r="H100" s="50">
        <v>1500</v>
      </c>
      <c r="I100" s="55">
        <v>300</v>
      </c>
      <c r="J100" s="49" t="s">
        <v>36</v>
      </c>
      <c r="K100" s="49" t="s">
        <v>37</v>
      </c>
    </row>
    <row r="101" spans="1:11" ht="15.75" customHeight="1">
      <c r="A101" s="49">
        <v>6</v>
      </c>
      <c r="B101" s="49" t="s">
        <v>1999</v>
      </c>
      <c r="C101" s="49" t="s">
        <v>227</v>
      </c>
      <c r="D101" s="49" t="s">
        <v>365</v>
      </c>
      <c r="E101" s="49" t="s">
        <v>232</v>
      </c>
      <c r="F101" s="49"/>
      <c r="G101" s="49" t="s">
        <v>35</v>
      </c>
      <c r="H101" s="50">
        <v>500</v>
      </c>
      <c r="I101" s="55"/>
      <c r="J101" s="49" t="s">
        <v>43</v>
      </c>
      <c r="K101" s="49" t="s">
        <v>37</v>
      </c>
    </row>
    <row r="102" spans="1:11" ht="15.75" customHeight="1">
      <c r="A102" s="49">
        <v>6</v>
      </c>
      <c r="B102" s="49" t="s">
        <v>2000</v>
      </c>
      <c r="C102" s="49" t="s">
        <v>227</v>
      </c>
      <c r="D102" s="49" t="s">
        <v>239</v>
      </c>
      <c r="E102" s="49" t="s">
        <v>51</v>
      </c>
      <c r="F102" s="49"/>
      <c r="G102" s="49" t="s">
        <v>35</v>
      </c>
      <c r="H102" s="50">
        <v>600</v>
      </c>
      <c r="I102" s="55">
        <v>120</v>
      </c>
      <c r="J102" s="49" t="s">
        <v>36</v>
      </c>
      <c r="K102" s="49" t="s">
        <v>37</v>
      </c>
    </row>
    <row r="103" spans="1:11" ht="15.75" customHeight="1">
      <c r="A103" s="49">
        <v>6</v>
      </c>
      <c r="B103" s="49" t="s">
        <v>2001</v>
      </c>
      <c r="C103" s="49" t="s">
        <v>227</v>
      </c>
      <c r="D103" s="49" t="s">
        <v>290</v>
      </c>
      <c r="E103" s="49" t="s">
        <v>232</v>
      </c>
      <c r="F103" s="49"/>
      <c r="G103" s="49" t="s">
        <v>170</v>
      </c>
      <c r="H103" s="50">
        <v>200</v>
      </c>
      <c r="I103" s="55">
        <v>120</v>
      </c>
      <c r="J103" s="49" t="s">
        <v>36</v>
      </c>
      <c r="K103" s="49" t="s">
        <v>37</v>
      </c>
    </row>
    <row r="104" spans="1:11" ht="15.75" customHeight="1">
      <c r="A104" s="49">
        <v>7</v>
      </c>
      <c r="B104" s="49" t="s">
        <v>2002</v>
      </c>
      <c r="C104" s="49" t="s">
        <v>227</v>
      </c>
      <c r="D104" s="49" t="s">
        <v>1051</v>
      </c>
      <c r="E104" s="49" t="s">
        <v>193</v>
      </c>
      <c r="F104" s="49"/>
      <c r="G104" s="49" t="s">
        <v>170</v>
      </c>
      <c r="H104" s="50">
        <v>100</v>
      </c>
      <c r="I104" s="55">
        <v>60</v>
      </c>
      <c r="J104" s="49" t="s">
        <v>36</v>
      </c>
      <c r="K104" s="49" t="s">
        <v>37</v>
      </c>
    </row>
    <row r="105" spans="1:11" ht="15.75" customHeight="1">
      <c r="A105" s="49">
        <v>7</v>
      </c>
      <c r="B105" s="49" t="s">
        <v>2003</v>
      </c>
      <c r="C105" s="49" t="s">
        <v>227</v>
      </c>
      <c r="D105" s="49" t="s">
        <v>2004</v>
      </c>
      <c r="E105" s="49" t="s">
        <v>158</v>
      </c>
      <c r="F105" s="49"/>
      <c r="G105" s="49" t="s">
        <v>35</v>
      </c>
      <c r="H105" s="50">
        <v>200</v>
      </c>
      <c r="I105" s="55">
        <v>80</v>
      </c>
      <c r="J105" s="49" t="s">
        <v>36</v>
      </c>
      <c r="K105" s="49" t="s">
        <v>37</v>
      </c>
    </row>
    <row r="106" spans="1:11" ht="15.75" customHeight="1">
      <c r="A106" s="49">
        <v>9</v>
      </c>
      <c r="B106" s="49" t="s">
        <v>542</v>
      </c>
      <c r="C106" s="49" t="s">
        <v>227</v>
      </c>
      <c r="D106" s="49" t="s">
        <v>354</v>
      </c>
      <c r="E106" s="49" t="s">
        <v>251</v>
      </c>
      <c r="F106" s="49"/>
      <c r="G106" s="49" t="s">
        <v>35</v>
      </c>
      <c r="H106" s="50">
        <v>8400</v>
      </c>
      <c r="I106" s="55">
        <v>2520</v>
      </c>
      <c r="J106" s="49" t="s">
        <v>36</v>
      </c>
      <c r="K106" s="49" t="s">
        <v>37</v>
      </c>
    </row>
    <row r="107" spans="1:11" ht="15.75" customHeight="1">
      <c r="A107" s="49">
        <v>9</v>
      </c>
      <c r="B107" s="49" t="s">
        <v>2005</v>
      </c>
      <c r="C107" s="49" t="s">
        <v>227</v>
      </c>
      <c r="D107" s="49" t="s">
        <v>2006</v>
      </c>
      <c r="E107" s="49" t="s">
        <v>251</v>
      </c>
      <c r="F107" s="49"/>
      <c r="G107" s="49" t="s">
        <v>242</v>
      </c>
      <c r="H107" s="50">
        <v>40</v>
      </c>
      <c r="I107" s="55">
        <v>120</v>
      </c>
      <c r="J107" s="49" t="s">
        <v>36</v>
      </c>
      <c r="K107" s="49" t="s">
        <v>37</v>
      </c>
    </row>
    <row r="108" spans="1:11" ht="15.75" customHeight="1">
      <c r="A108" s="49">
        <v>9</v>
      </c>
      <c r="B108" s="49" t="s">
        <v>2007</v>
      </c>
      <c r="C108" s="49" t="s">
        <v>246</v>
      </c>
      <c r="D108" s="49" t="s">
        <v>446</v>
      </c>
      <c r="E108" s="49" t="s">
        <v>164</v>
      </c>
      <c r="F108" s="49"/>
      <c r="G108" s="49" t="s">
        <v>35</v>
      </c>
      <c r="H108" s="50">
        <v>4000</v>
      </c>
      <c r="I108" s="55">
        <v>1200</v>
      </c>
      <c r="J108" s="49" t="s">
        <v>36</v>
      </c>
      <c r="K108" s="49" t="s">
        <v>37</v>
      </c>
    </row>
    <row r="109" spans="1:11" ht="15.75" customHeight="1">
      <c r="A109" s="49">
        <v>9</v>
      </c>
      <c r="B109" s="49" t="s">
        <v>2008</v>
      </c>
      <c r="C109" s="49" t="s">
        <v>246</v>
      </c>
      <c r="D109" s="49" t="s">
        <v>385</v>
      </c>
      <c r="E109" s="49" t="s">
        <v>307</v>
      </c>
      <c r="F109" s="49"/>
      <c r="G109" s="49" t="s">
        <v>35</v>
      </c>
      <c r="H109" s="50">
        <v>1500</v>
      </c>
      <c r="I109" s="55">
        <v>300</v>
      </c>
      <c r="J109" s="49" t="s">
        <v>36</v>
      </c>
      <c r="K109" s="49" t="s">
        <v>37</v>
      </c>
    </row>
    <row r="110" spans="1:11" ht="15.75" customHeight="1">
      <c r="A110" s="49">
        <v>9</v>
      </c>
      <c r="B110" s="49" t="s">
        <v>2009</v>
      </c>
      <c r="C110" s="49" t="s">
        <v>246</v>
      </c>
      <c r="D110" s="49" t="s">
        <v>365</v>
      </c>
      <c r="E110" s="49" t="s">
        <v>232</v>
      </c>
      <c r="F110" s="49"/>
      <c r="G110" s="49" t="s">
        <v>35</v>
      </c>
      <c r="H110" s="50">
        <v>250</v>
      </c>
      <c r="I110" s="55"/>
      <c r="J110" s="49" t="s">
        <v>43</v>
      </c>
      <c r="K110" s="49" t="s">
        <v>37</v>
      </c>
    </row>
    <row r="111" spans="1:11" ht="15.75" customHeight="1">
      <c r="A111" s="49">
        <v>9</v>
      </c>
      <c r="B111" s="49" t="s">
        <v>2010</v>
      </c>
      <c r="C111" s="49" t="s">
        <v>246</v>
      </c>
      <c r="D111" s="49" t="s">
        <v>365</v>
      </c>
      <c r="E111" s="49" t="s">
        <v>232</v>
      </c>
      <c r="F111" s="49"/>
      <c r="G111" s="49" t="s">
        <v>35</v>
      </c>
      <c r="H111" s="50">
        <v>250</v>
      </c>
      <c r="I111" s="55"/>
      <c r="J111" s="49" t="s">
        <v>43</v>
      </c>
      <c r="K111" s="49" t="s">
        <v>37</v>
      </c>
    </row>
    <row r="112" spans="1:11" ht="15.75" customHeight="1">
      <c r="A112" s="49">
        <v>9</v>
      </c>
      <c r="B112" s="49" t="s">
        <v>2011</v>
      </c>
      <c r="C112" s="49" t="s">
        <v>227</v>
      </c>
      <c r="D112" s="49" t="s">
        <v>513</v>
      </c>
      <c r="E112" s="49" t="s">
        <v>248</v>
      </c>
      <c r="F112" s="49"/>
      <c r="G112" s="49" t="s">
        <v>35</v>
      </c>
      <c r="H112" s="50">
        <v>2000</v>
      </c>
      <c r="I112" s="55">
        <v>600</v>
      </c>
      <c r="J112" s="49" t="s">
        <v>36</v>
      </c>
      <c r="K112" s="49" t="s">
        <v>37</v>
      </c>
    </row>
    <row r="113" spans="1:11" ht="15.75" customHeight="1">
      <c r="A113" s="49">
        <v>9</v>
      </c>
      <c r="B113" s="49" t="s">
        <v>2012</v>
      </c>
      <c r="C113" s="49" t="s">
        <v>227</v>
      </c>
      <c r="D113" s="49" t="s">
        <v>1215</v>
      </c>
      <c r="E113" s="49" t="s">
        <v>232</v>
      </c>
      <c r="F113" s="49"/>
      <c r="G113" s="49" t="s">
        <v>170</v>
      </c>
      <c r="H113" s="50">
        <v>500</v>
      </c>
      <c r="I113" s="55">
        <v>300</v>
      </c>
      <c r="J113" s="49" t="s">
        <v>36</v>
      </c>
      <c r="K113" s="49" t="s">
        <v>37</v>
      </c>
    </row>
    <row r="114" spans="1:11" ht="15.75" customHeight="1">
      <c r="A114" s="49">
        <v>9</v>
      </c>
      <c r="B114" s="49" t="s">
        <v>2013</v>
      </c>
      <c r="C114" s="49" t="s">
        <v>227</v>
      </c>
      <c r="D114" s="49" t="s">
        <v>772</v>
      </c>
      <c r="E114" s="49" t="s">
        <v>232</v>
      </c>
      <c r="F114" s="49"/>
      <c r="G114" s="49" t="s">
        <v>170</v>
      </c>
      <c r="H114" s="50">
        <v>500</v>
      </c>
      <c r="I114" s="55">
        <v>300</v>
      </c>
      <c r="J114" s="49" t="s">
        <v>36</v>
      </c>
      <c r="K114" s="49" t="s">
        <v>37</v>
      </c>
    </row>
    <row r="115" spans="1:11" ht="15.75" customHeight="1">
      <c r="A115" s="49">
        <v>9</v>
      </c>
      <c r="B115" s="49" t="s">
        <v>2014</v>
      </c>
      <c r="C115" s="49" t="s">
        <v>246</v>
      </c>
      <c r="D115" s="49" t="s">
        <v>33</v>
      </c>
      <c r="E115" s="49" t="s">
        <v>307</v>
      </c>
      <c r="F115" s="49"/>
      <c r="G115" s="49" t="s">
        <v>170</v>
      </c>
      <c r="H115" s="50">
        <v>500</v>
      </c>
      <c r="I115" s="55">
        <v>300</v>
      </c>
      <c r="J115" s="49" t="s">
        <v>36</v>
      </c>
      <c r="K115" s="49" t="s">
        <v>37</v>
      </c>
    </row>
    <row r="116" spans="1:11" ht="15.75" customHeight="1">
      <c r="A116" s="49">
        <v>9</v>
      </c>
      <c r="B116" s="49" t="s">
        <v>1459</v>
      </c>
      <c r="C116" s="49" t="s">
        <v>227</v>
      </c>
      <c r="D116" s="49" t="s">
        <v>234</v>
      </c>
      <c r="E116" s="49" t="s">
        <v>235</v>
      </c>
      <c r="F116" s="49"/>
      <c r="G116" s="49" t="s">
        <v>35</v>
      </c>
      <c r="H116" s="50">
        <v>2000</v>
      </c>
      <c r="I116" s="55">
        <v>600</v>
      </c>
      <c r="J116" s="49" t="s">
        <v>36</v>
      </c>
      <c r="K116" s="49" t="s">
        <v>37</v>
      </c>
    </row>
    <row r="117" spans="1:11" ht="15.75" customHeight="1">
      <c r="A117" s="49">
        <v>9</v>
      </c>
      <c r="B117" s="49" t="s">
        <v>2015</v>
      </c>
      <c r="C117" s="49" t="s">
        <v>227</v>
      </c>
      <c r="D117" s="49" t="s">
        <v>432</v>
      </c>
      <c r="E117" s="49" t="s">
        <v>307</v>
      </c>
      <c r="F117" s="49"/>
      <c r="G117" s="49" t="s">
        <v>170</v>
      </c>
      <c r="H117" s="50">
        <v>200</v>
      </c>
      <c r="I117" s="55">
        <v>120</v>
      </c>
      <c r="J117" s="49" t="s">
        <v>36</v>
      </c>
      <c r="K117" s="49" t="s">
        <v>37</v>
      </c>
    </row>
    <row r="118" spans="1:11" ht="15.75" customHeight="1">
      <c r="A118" s="49">
        <v>9</v>
      </c>
      <c r="B118" s="49" t="s">
        <v>2016</v>
      </c>
      <c r="C118" s="49" t="s">
        <v>227</v>
      </c>
      <c r="D118" s="49" t="s">
        <v>1512</v>
      </c>
      <c r="E118" s="49" t="s">
        <v>321</v>
      </c>
      <c r="F118" s="49"/>
      <c r="G118" s="49" t="s">
        <v>35</v>
      </c>
      <c r="H118" s="50">
        <v>1000</v>
      </c>
      <c r="I118" s="55">
        <v>200</v>
      </c>
      <c r="J118" s="49" t="s">
        <v>36</v>
      </c>
      <c r="K118" s="49" t="s">
        <v>37</v>
      </c>
    </row>
    <row r="119" spans="1:11" ht="15.75" customHeight="1">
      <c r="A119" s="49">
        <v>9</v>
      </c>
      <c r="B119" s="49" t="s">
        <v>2017</v>
      </c>
      <c r="C119" s="49" t="s">
        <v>227</v>
      </c>
      <c r="D119" s="49" t="s">
        <v>385</v>
      </c>
      <c r="E119" s="49" t="s">
        <v>232</v>
      </c>
      <c r="F119" s="49"/>
      <c r="G119" s="49" t="s">
        <v>35</v>
      </c>
      <c r="H119" s="50">
        <v>2000</v>
      </c>
      <c r="I119" s="55">
        <v>400</v>
      </c>
      <c r="J119" s="49" t="s">
        <v>36</v>
      </c>
      <c r="K119" s="49" t="s">
        <v>37</v>
      </c>
    </row>
    <row r="120" spans="1:11" ht="15.75" customHeight="1">
      <c r="A120" s="49">
        <v>9</v>
      </c>
      <c r="B120" s="49" t="s">
        <v>2018</v>
      </c>
      <c r="C120" s="49" t="s">
        <v>227</v>
      </c>
      <c r="D120" s="49" t="s">
        <v>435</v>
      </c>
      <c r="E120" s="49" t="s">
        <v>48</v>
      </c>
      <c r="F120" s="49"/>
      <c r="G120" s="49" t="s">
        <v>35</v>
      </c>
      <c r="H120" s="50">
        <v>1000</v>
      </c>
      <c r="I120" s="55">
        <v>300</v>
      </c>
      <c r="J120" s="49" t="s">
        <v>36</v>
      </c>
      <c r="K120" s="49" t="s">
        <v>37</v>
      </c>
    </row>
    <row r="121" spans="1:11" ht="15.75" customHeight="1">
      <c r="A121" s="49">
        <v>9</v>
      </c>
      <c r="B121" s="49" t="s">
        <v>2019</v>
      </c>
      <c r="C121" s="49" t="s">
        <v>227</v>
      </c>
      <c r="D121" s="49"/>
      <c r="E121" s="49" t="s">
        <v>75</v>
      </c>
      <c r="F121" s="49"/>
      <c r="G121" s="49" t="s">
        <v>35</v>
      </c>
      <c r="H121" s="49">
        <v>100</v>
      </c>
      <c r="I121" s="55">
        <v>30</v>
      </c>
      <c r="J121" s="49" t="s">
        <v>36</v>
      </c>
      <c r="K121" s="49" t="s">
        <v>37</v>
      </c>
    </row>
    <row r="122" spans="1:11" ht="15.75" customHeight="1">
      <c r="A122" s="49">
        <v>10</v>
      </c>
      <c r="B122" s="49" t="s">
        <v>2020</v>
      </c>
      <c r="C122" s="49" t="s">
        <v>227</v>
      </c>
      <c r="D122" s="49" t="s">
        <v>1690</v>
      </c>
      <c r="E122" s="49" t="s">
        <v>51</v>
      </c>
      <c r="F122" s="49"/>
      <c r="G122" s="49" t="s">
        <v>35</v>
      </c>
      <c r="H122" s="49">
        <v>500</v>
      </c>
      <c r="I122" s="55">
        <v>150</v>
      </c>
      <c r="J122" s="49" t="s">
        <v>36</v>
      </c>
      <c r="K122" s="49" t="s">
        <v>37</v>
      </c>
    </row>
    <row r="123" spans="1:11" ht="15.75" customHeight="1">
      <c r="A123" s="49">
        <v>10</v>
      </c>
      <c r="B123" s="49" t="s">
        <v>2021</v>
      </c>
      <c r="C123" s="49" t="s">
        <v>227</v>
      </c>
      <c r="D123" s="49" t="s">
        <v>326</v>
      </c>
      <c r="E123" s="49" t="s">
        <v>199</v>
      </c>
      <c r="F123" s="49"/>
      <c r="G123" s="49" t="s">
        <v>35</v>
      </c>
      <c r="H123" s="50">
        <v>2500</v>
      </c>
      <c r="I123" s="55">
        <v>500</v>
      </c>
      <c r="J123" s="49" t="s">
        <v>36</v>
      </c>
      <c r="K123" s="49" t="s">
        <v>37</v>
      </c>
    </row>
    <row r="124" spans="1:11" ht="15.75" customHeight="1">
      <c r="A124" s="49">
        <v>10</v>
      </c>
      <c r="B124" s="49" t="s">
        <v>2021</v>
      </c>
      <c r="C124" s="49" t="s">
        <v>227</v>
      </c>
      <c r="D124" s="49" t="s">
        <v>326</v>
      </c>
      <c r="E124" s="49" t="s">
        <v>199</v>
      </c>
      <c r="F124" s="49"/>
      <c r="G124" s="49" t="s">
        <v>170</v>
      </c>
      <c r="H124" s="49">
        <v>500</v>
      </c>
      <c r="I124" s="55">
        <v>300</v>
      </c>
      <c r="J124" s="49" t="s">
        <v>36</v>
      </c>
      <c r="K124" s="49" t="s">
        <v>37</v>
      </c>
    </row>
    <row r="125" spans="1:11" ht="15.75" customHeight="1">
      <c r="A125" s="49">
        <v>10</v>
      </c>
      <c r="B125" s="49" t="s">
        <v>2022</v>
      </c>
      <c r="C125" s="49" t="s">
        <v>227</v>
      </c>
      <c r="D125" s="49" t="s">
        <v>625</v>
      </c>
      <c r="E125" s="49" t="s">
        <v>51</v>
      </c>
      <c r="F125" s="49"/>
      <c r="G125" s="49" t="s">
        <v>35</v>
      </c>
      <c r="H125" s="49">
        <v>200</v>
      </c>
      <c r="I125" s="55">
        <v>40</v>
      </c>
      <c r="J125" s="49" t="s">
        <v>36</v>
      </c>
      <c r="K125" s="49" t="s">
        <v>37</v>
      </c>
    </row>
    <row r="126" spans="1:11" ht="15.75" customHeight="1">
      <c r="A126" s="49">
        <v>11</v>
      </c>
      <c r="B126" s="49" t="s">
        <v>2023</v>
      </c>
      <c r="C126" s="49" t="s">
        <v>227</v>
      </c>
      <c r="D126" s="49" t="s">
        <v>1690</v>
      </c>
      <c r="E126" s="49" t="s">
        <v>51</v>
      </c>
      <c r="F126" s="49"/>
      <c r="G126" s="49" t="s">
        <v>35</v>
      </c>
      <c r="H126" s="50">
        <v>1000</v>
      </c>
      <c r="I126" s="55">
        <v>200</v>
      </c>
      <c r="J126" s="49" t="s">
        <v>36</v>
      </c>
      <c r="K126" s="49" t="s">
        <v>37</v>
      </c>
    </row>
    <row r="127" spans="1:11" ht="15.75" customHeight="1">
      <c r="A127" s="49">
        <v>11</v>
      </c>
      <c r="B127" s="49" t="s">
        <v>2024</v>
      </c>
      <c r="C127" s="49" t="s">
        <v>227</v>
      </c>
      <c r="D127" s="49" t="s">
        <v>262</v>
      </c>
      <c r="E127" s="49" t="s">
        <v>232</v>
      </c>
      <c r="F127" s="49"/>
      <c r="G127" s="49" t="s">
        <v>35</v>
      </c>
      <c r="H127" s="49">
        <v>500</v>
      </c>
      <c r="I127" s="55">
        <v>100</v>
      </c>
      <c r="J127" s="49" t="s">
        <v>36</v>
      </c>
      <c r="K127" s="49" t="s">
        <v>37</v>
      </c>
    </row>
    <row r="128" spans="1:11" ht="15.75" customHeight="1">
      <c r="A128" s="49">
        <v>11</v>
      </c>
      <c r="B128" s="49" t="s">
        <v>2025</v>
      </c>
      <c r="C128" s="49" t="s">
        <v>227</v>
      </c>
      <c r="D128" s="49" t="s">
        <v>2026</v>
      </c>
      <c r="E128" s="49" t="s">
        <v>152</v>
      </c>
      <c r="F128" s="49"/>
      <c r="G128" s="49" t="s">
        <v>35</v>
      </c>
      <c r="H128" s="49">
        <v>150</v>
      </c>
      <c r="I128" s="55">
        <v>30</v>
      </c>
      <c r="J128" s="49" t="s">
        <v>36</v>
      </c>
      <c r="K128" s="49" t="s">
        <v>37</v>
      </c>
    </row>
    <row r="129" spans="1:15" ht="15.75" customHeight="1">
      <c r="A129" s="49">
        <v>11</v>
      </c>
      <c r="B129" s="49" t="s">
        <v>267</v>
      </c>
      <c r="C129" s="49" t="s">
        <v>227</v>
      </c>
      <c r="D129" s="49" t="s">
        <v>2027</v>
      </c>
      <c r="E129" s="49" t="s">
        <v>248</v>
      </c>
      <c r="F129" s="49"/>
      <c r="G129" s="49" t="s">
        <v>35</v>
      </c>
      <c r="H129" s="49">
        <v>400</v>
      </c>
      <c r="I129" s="55">
        <v>80</v>
      </c>
      <c r="J129" s="49" t="s">
        <v>36</v>
      </c>
      <c r="K129" s="49" t="s">
        <v>37</v>
      </c>
    </row>
    <row r="130" spans="1:15" ht="15.75" customHeight="1">
      <c r="A130" s="49">
        <v>11</v>
      </c>
      <c r="B130" s="49" t="s">
        <v>233</v>
      </c>
      <c r="C130" s="49" t="s">
        <v>227</v>
      </c>
      <c r="D130" s="49" t="s">
        <v>234</v>
      </c>
      <c r="E130" s="49" t="s">
        <v>235</v>
      </c>
      <c r="F130" s="49"/>
      <c r="G130" s="49" t="s">
        <v>35</v>
      </c>
      <c r="H130" s="50">
        <v>3800</v>
      </c>
      <c r="I130" s="55">
        <v>760</v>
      </c>
      <c r="J130" s="49" t="s">
        <v>36</v>
      </c>
      <c r="K130" s="49" t="s">
        <v>37</v>
      </c>
    </row>
    <row r="131" spans="1:15" ht="15.75" customHeight="1">
      <c r="A131" s="49">
        <v>12</v>
      </c>
      <c r="B131" s="49" t="s">
        <v>2028</v>
      </c>
      <c r="C131" s="49" t="s">
        <v>227</v>
      </c>
      <c r="D131" s="49" t="s">
        <v>2029</v>
      </c>
      <c r="E131" s="49" t="s">
        <v>84</v>
      </c>
      <c r="F131" s="49"/>
      <c r="G131" s="49" t="s">
        <v>35</v>
      </c>
      <c r="H131" s="50">
        <v>2000</v>
      </c>
      <c r="I131" s="55">
        <v>400</v>
      </c>
      <c r="J131" s="49" t="s">
        <v>36</v>
      </c>
      <c r="K131" s="49" t="s">
        <v>37</v>
      </c>
    </row>
    <row r="132" spans="1:15" ht="15.75" customHeight="1">
      <c r="A132" s="49">
        <v>12</v>
      </c>
      <c r="B132" s="49" t="s">
        <v>2030</v>
      </c>
      <c r="C132" s="49" t="s">
        <v>227</v>
      </c>
      <c r="D132" s="49" t="s">
        <v>262</v>
      </c>
      <c r="E132" s="49" t="s">
        <v>232</v>
      </c>
      <c r="F132" s="49"/>
      <c r="G132" s="49" t="s">
        <v>35</v>
      </c>
      <c r="H132" s="50">
        <v>1500</v>
      </c>
      <c r="I132" s="55">
        <v>300</v>
      </c>
      <c r="J132" s="49" t="s">
        <v>36</v>
      </c>
      <c r="K132" s="49" t="s">
        <v>37</v>
      </c>
    </row>
    <row r="133" spans="1:15" ht="15.75" customHeight="1">
      <c r="A133" s="49">
        <v>12</v>
      </c>
      <c r="B133" s="49" t="s">
        <v>632</v>
      </c>
      <c r="C133" s="49" t="s">
        <v>227</v>
      </c>
      <c r="D133" s="49" t="s">
        <v>262</v>
      </c>
      <c r="E133" s="49" t="s">
        <v>232</v>
      </c>
      <c r="F133" s="49"/>
      <c r="G133" s="49" t="s">
        <v>35</v>
      </c>
      <c r="H133" s="50">
        <v>1200</v>
      </c>
      <c r="I133" s="55">
        <v>240</v>
      </c>
      <c r="J133" s="49" t="s">
        <v>36</v>
      </c>
      <c r="K133" s="49" t="s">
        <v>37</v>
      </c>
    </row>
    <row r="134" spans="1:15" ht="15.75" customHeight="1">
      <c r="A134" s="49">
        <v>12</v>
      </c>
      <c r="B134" s="49" t="s">
        <v>2031</v>
      </c>
      <c r="C134" s="49" t="s">
        <v>246</v>
      </c>
      <c r="D134" s="49" t="s">
        <v>295</v>
      </c>
      <c r="E134" s="49" t="s">
        <v>248</v>
      </c>
      <c r="F134" s="49"/>
      <c r="G134" s="49" t="s">
        <v>35</v>
      </c>
      <c r="H134" s="49">
        <v>800</v>
      </c>
      <c r="I134" s="55">
        <v>160</v>
      </c>
      <c r="J134" s="49" t="s">
        <v>36</v>
      </c>
      <c r="K134" s="49" t="s">
        <v>37</v>
      </c>
    </row>
    <row r="135" spans="1:15" ht="15.75" customHeight="1">
      <c r="A135" s="49">
        <v>12</v>
      </c>
      <c r="B135" s="49" t="s">
        <v>2032</v>
      </c>
      <c r="C135" s="49" t="s">
        <v>227</v>
      </c>
      <c r="D135" s="49" t="s">
        <v>385</v>
      </c>
      <c r="E135" s="49" t="s">
        <v>307</v>
      </c>
      <c r="F135" s="49"/>
      <c r="G135" s="49" t="s">
        <v>35</v>
      </c>
      <c r="H135" s="50">
        <v>3000</v>
      </c>
      <c r="I135" s="55">
        <v>600</v>
      </c>
      <c r="J135" s="49" t="s">
        <v>36</v>
      </c>
      <c r="K135" s="49" t="s">
        <v>37</v>
      </c>
    </row>
    <row r="136" spans="1:15" ht="15.75" customHeight="1">
      <c r="A136" s="49">
        <v>12</v>
      </c>
      <c r="B136" s="49" t="s">
        <v>2033</v>
      </c>
      <c r="C136" s="49" t="s">
        <v>227</v>
      </c>
      <c r="D136" s="49" t="s">
        <v>987</v>
      </c>
      <c r="E136" s="49" t="s">
        <v>251</v>
      </c>
      <c r="F136" s="49"/>
      <c r="G136" s="49" t="s">
        <v>35</v>
      </c>
      <c r="H136" s="49">
        <v>100</v>
      </c>
      <c r="I136" s="55">
        <v>20</v>
      </c>
      <c r="J136" s="49" t="s">
        <v>36</v>
      </c>
      <c r="K136" s="49" t="s">
        <v>37</v>
      </c>
    </row>
    <row r="137" spans="1:15" ht="15.75" customHeight="1">
      <c r="A137" s="49">
        <v>12</v>
      </c>
      <c r="B137" s="49" t="s">
        <v>477</v>
      </c>
      <c r="C137" s="49" t="s">
        <v>246</v>
      </c>
      <c r="D137" s="49" t="s">
        <v>288</v>
      </c>
      <c r="E137" s="49" t="s">
        <v>184</v>
      </c>
      <c r="F137" s="49"/>
      <c r="G137" s="49" t="s">
        <v>35</v>
      </c>
      <c r="H137" s="50">
        <v>28000</v>
      </c>
      <c r="I137" s="55">
        <v>5600</v>
      </c>
      <c r="J137" s="49" t="s">
        <v>36</v>
      </c>
      <c r="K137" s="49" t="s">
        <v>37</v>
      </c>
      <c r="O137" s="4"/>
    </row>
    <row r="138" spans="1:15" ht="15.75" customHeight="1">
      <c r="A138" s="49">
        <v>12</v>
      </c>
      <c r="B138" s="49" t="s">
        <v>2034</v>
      </c>
      <c r="C138" s="49" t="s">
        <v>227</v>
      </c>
      <c r="D138" s="49" t="s">
        <v>495</v>
      </c>
      <c r="E138" s="49" t="s">
        <v>251</v>
      </c>
      <c r="F138" s="49"/>
      <c r="G138" s="49" t="s">
        <v>242</v>
      </c>
      <c r="H138" s="49">
        <v>100</v>
      </c>
      <c r="I138" s="55">
        <v>300</v>
      </c>
      <c r="J138" s="49" t="s">
        <v>36</v>
      </c>
      <c r="K138" s="49" t="s">
        <v>37</v>
      </c>
    </row>
    <row r="139" spans="1:15" ht="15.75" customHeight="1">
      <c r="A139" s="49">
        <v>13</v>
      </c>
      <c r="B139" s="49" t="s">
        <v>2035</v>
      </c>
      <c r="C139" s="49" t="s">
        <v>227</v>
      </c>
      <c r="D139" s="49" t="s">
        <v>2036</v>
      </c>
      <c r="E139" s="49" t="s">
        <v>307</v>
      </c>
      <c r="F139" s="49"/>
      <c r="G139" s="49" t="s">
        <v>35</v>
      </c>
      <c r="H139" s="50">
        <v>2000</v>
      </c>
      <c r="I139" s="55">
        <v>400</v>
      </c>
      <c r="J139" s="49" t="s">
        <v>36</v>
      </c>
      <c r="K139" s="49" t="s">
        <v>37</v>
      </c>
    </row>
    <row r="140" spans="1:15" ht="15.75" customHeight="1">
      <c r="A140" s="49">
        <v>13</v>
      </c>
      <c r="B140" s="49" t="s">
        <v>1551</v>
      </c>
      <c r="C140" s="49" t="s">
        <v>227</v>
      </c>
      <c r="D140" s="49" t="s">
        <v>1552</v>
      </c>
      <c r="E140" s="49" t="s">
        <v>164</v>
      </c>
      <c r="F140" s="49"/>
      <c r="G140" s="49" t="s">
        <v>35</v>
      </c>
      <c r="H140" s="50">
        <v>1000</v>
      </c>
      <c r="I140" s="55">
        <v>300</v>
      </c>
      <c r="J140" s="49" t="s">
        <v>36</v>
      </c>
      <c r="K140" s="49" t="s">
        <v>37</v>
      </c>
    </row>
    <row r="141" spans="1:15" ht="15.75" customHeight="1">
      <c r="A141" s="49">
        <v>13</v>
      </c>
      <c r="B141" s="49" t="s">
        <v>2037</v>
      </c>
      <c r="C141" s="49" t="s">
        <v>227</v>
      </c>
      <c r="D141" s="49" t="s">
        <v>1995</v>
      </c>
      <c r="E141" s="49" t="s">
        <v>164</v>
      </c>
      <c r="F141" s="49"/>
      <c r="G141" s="49" t="s">
        <v>35</v>
      </c>
      <c r="H141" s="50">
        <v>1500</v>
      </c>
      <c r="I141" s="55">
        <v>450</v>
      </c>
      <c r="J141" s="49" t="s">
        <v>36</v>
      </c>
      <c r="K141" s="49" t="s">
        <v>37</v>
      </c>
    </row>
    <row r="142" spans="1:15" ht="15.75" customHeight="1">
      <c r="A142" s="49">
        <v>13</v>
      </c>
      <c r="B142" s="49" t="s">
        <v>2038</v>
      </c>
      <c r="C142" s="49" t="s">
        <v>227</v>
      </c>
      <c r="D142" s="49" t="s">
        <v>2039</v>
      </c>
      <c r="E142" s="49" t="s">
        <v>1667</v>
      </c>
      <c r="F142" s="49"/>
      <c r="G142" s="49" t="s">
        <v>35</v>
      </c>
      <c r="H142" s="50">
        <v>5500</v>
      </c>
      <c r="I142" s="55">
        <v>1100</v>
      </c>
      <c r="J142" s="49" t="s">
        <v>36</v>
      </c>
      <c r="K142" s="49" t="s">
        <v>37</v>
      </c>
    </row>
    <row r="143" spans="1:15" ht="15.75" customHeight="1">
      <c r="A143" s="49">
        <v>13</v>
      </c>
      <c r="B143" s="49" t="s">
        <v>2038</v>
      </c>
      <c r="C143" s="49" t="s">
        <v>227</v>
      </c>
      <c r="D143" s="49" t="s">
        <v>2039</v>
      </c>
      <c r="E143" s="49" t="s">
        <v>1667</v>
      </c>
      <c r="F143" s="49"/>
      <c r="G143" s="49" t="s">
        <v>35</v>
      </c>
      <c r="H143" s="49">
        <v>500</v>
      </c>
      <c r="I143" s="55"/>
      <c r="J143" s="49" t="s">
        <v>43</v>
      </c>
      <c r="K143" s="49" t="s">
        <v>37</v>
      </c>
    </row>
    <row r="144" spans="1:15" ht="15.75" customHeight="1">
      <c r="A144" s="49">
        <v>13</v>
      </c>
      <c r="B144" s="49" t="s">
        <v>2040</v>
      </c>
      <c r="C144" s="49" t="s">
        <v>227</v>
      </c>
      <c r="D144" s="49" t="s">
        <v>1215</v>
      </c>
      <c r="E144" s="49" t="s">
        <v>232</v>
      </c>
      <c r="F144" s="49"/>
      <c r="G144" s="49" t="s">
        <v>35</v>
      </c>
      <c r="H144" s="50">
        <v>1000</v>
      </c>
      <c r="I144" s="55">
        <v>200</v>
      </c>
      <c r="J144" s="49" t="s">
        <v>36</v>
      </c>
      <c r="K144" s="49" t="s">
        <v>37</v>
      </c>
      <c r="O144" s="4"/>
    </row>
    <row r="145" spans="1:15" ht="15.75" customHeight="1">
      <c r="A145" s="49">
        <v>13</v>
      </c>
      <c r="B145" s="49" t="s">
        <v>2040</v>
      </c>
      <c r="C145" s="49" t="s">
        <v>227</v>
      </c>
      <c r="D145" s="49" t="s">
        <v>1215</v>
      </c>
      <c r="E145" s="49" t="s">
        <v>232</v>
      </c>
      <c r="F145" s="49"/>
      <c r="G145" s="49" t="s">
        <v>35</v>
      </c>
      <c r="H145" s="49">
        <v>500</v>
      </c>
      <c r="I145" s="55"/>
      <c r="J145" s="49" t="s">
        <v>43</v>
      </c>
      <c r="K145" s="49" t="s">
        <v>37</v>
      </c>
    </row>
    <row r="146" spans="1:15" ht="15.75" customHeight="1">
      <c r="A146" s="49">
        <v>13</v>
      </c>
      <c r="B146" s="49" t="s">
        <v>2040</v>
      </c>
      <c r="C146" s="49" t="s">
        <v>227</v>
      </c>
      <c r="D146" s="49" t="s">
        <v>1215</v>
      </c>
      <c r="E146" s="49" t="s">
        <v>232</v>
      </c>
      <c r="F146" s="49"/>
      <c r="G146" s="49" t="s">
        <v>170</v>
      </c>
      <c r="H146" s="49">
        <v>100</v>
      </c>
      <c r="I146" s="55">
        <v>60</v>
      </c>
      <c r="J146" s="49" t="s">
        <v>36</v>
      </c>
      <c r="K146" s="49" t="s">
        <v>37</v>
      </c>
    </row>
    <row r="147" spans="1:15" ht="15.75" customHeight="1">
      <c r="A147" s="49">
        <v>13</v>
      </c>
      <c r="B147" s="49" t="s">
        <v>2013</v>
      </c>
      <c r="C147" s="49" t="s">
        <v>227</v>
      </c>
      <c r="D147" s="49" t="s">
        <v>772</v>
      </c>
      <c r="E147" s="49" t="s">
        <v>232</v>
      </c>
      <c r="F147" s="49"/>
      <c r="G147" s="49" t="s">
        <v>35</v>
      </c>
      <c r="H147" s="50">
        <v>2500</v>
      </c>
      <c r="I147" s="55">
        <v>500</v>
      </c>
      <c r="J147" s="49" t="s">
        <v>36</v>
      </c>
      <c r="K147" s="49" t="s">
        <v>37</v>
      </c>
    </row>
    <row r="148" spans="1:15" ht="15.75" customHeight="1">
      <c r="A148" s="49">
        <v>13</v>
      </c>
      <c r="B148" s="49" t="s">
        <v>2013</v>
      </c>
      <c r="C148" s="49" t="s">
        <v>227</v>
      </c>
      <c r="D148" s="49" t="s">
        <v>772</v>
      </c>
      <c r="E148" s="49" t="s">
        <v>232</v>
      </c>
      <c r="F148" s="49"/>
      <c r="G148" s="49" t="s">
        <v>35</v>
      </c>
      <c r="H148" s="49">
        <v>500</v>
      </c>
      <c r="I148" s="55"/>
      <c r="J148" s="49" t="s">
        <v>43</v>
      </c>
      <c r="K148" s="49" t="s">
        <v>37</v>
      </c>
    </row>
    <row r="149" spans="1:15" ht="15.75" customHeight="1">
      <c r="A149" s="49">
        <v>13</v>
      </c>
      <c r="B149" s="49" t="s">
        <v>2041</v>
      </c>
      <c r="C149" s="49" t="s">
        <v>227</v>
      </c>
      <c r="D149" s="49" t="s">
        <v>517</v>
      </c>
      <c r="E149" s="49" t="s">
        <v>232</v>
      </c>
      <c r="F149" s="49"/>
      <c r="G149" s="49" t="s">
        <v>35</v>
      </c>
      <c r="H149" s="50">
        <v>2500</v>
      </c>
      <c r="I149" s="55">
        <v>500</v>
      </c>
      <c r="J149" s="49" t="s">
        <v>36</v>
      </c>
      <c r="K149" s="49" t="s">
        <v>37</v>
      </c>
      <c r="O149" s="4"/>
    </row>
    <row r="150" spans="1:15" ht="15.75" customHeight="1">
      <c r="A150" s="49">
        <v>13</v>
      </c>
      <c r="B150" s="49" t="s">
        <v>2041</v>
      </c>
      <c r="C150" s="49" t="s">
        <v>227</v>
      </c>
      <c r="D150" s="49" t="s">
        <v>517</v>
      </c>
      <c r="E150" s="49" t="s">
        <v>232</v>
      </c>
      <c r="F150" s="49"/>
      <c r="G150" s="49" t="s">
        <v>35</v>
      </c>
      <c r="H150" s="49">
        <v>500</v>
      </c>
      <c r="I150" s="55"/>
      <c r="J150" s="49" t="s">
        <v>43</v>
      </c>
      <c r="K150" s="49" t="s">
        <v>37</v>
      </c>
    </row>
    <row r="151" spans="1:15" ht="15.75" customHeight="1">
      <c r="A151" s="49">
        <v>13</v>
      </c>
      <c r="B151" s="49" t="s">
        <v>2042</v>
      </c>
      <c r="C151" s="49" t="s">
        <v>227</v>
      </c>
      <c r="D151" s="49" t="s">
        <v>840</v>
      </c>
      <c r="E151" s="49" t="s">
        <v>41</v>
      </c>
      <c r="F151" s="49"/>
      <c r="G151" s="49" t="s">
        <v>35</v>
      </c>
      <c r="H151" s="49">
        <v>500</v>
      </c>
      <c r="I151" s="55"/>
      <c r="J151" s="49" t="s">
        <v>43</v>
      </c>
      <c r="K151" s="49" t="s">
        <v>37</v>
      </c>
    </row>
    <row r="152" spans="1:15" ht="15.75" customHeight="1">
      <c r="A152" s="49">
        <v>13</v>
      </c>
      <c r="B152" s="49" t="s">
        <v>2043</v>
      </c>
      <c r="C152" s="49" t="s">
        <v>227</v>
      </c>
      <c r="D152" s="49" t="s">
        <v>231</v>
      </c>
      <c r="E152" s="49" t="s">
        <v>232</v>
      </c>
      <c r="F152" s="49"/>
      <c r="G152" s="49" t="s">
        <v>35</v>
      </c>
      <c r="H152" s="50">
        <v>8000</v>
      </c>
      <c r="I152" s="55">
        <v>1600</v>
      </c>
      <c r="J152" s="49" t="s">
        <v>36</v>
      </c>
      <c r="K152" s="49" t="s">
        <v>37</v>
      </c>
      <c r="O152" s="4"/>
    </row>
    <row r="153" spans="1:15" ht="15.75" customHeight="1">
      <c r="A153" s="49">
        <v>14</v>
      </c>
      <c r="B153" s="49" t="s">
        <v>2044</v>
      </c>
      <c r="C153" s="49" t="s">
        <v>227</v>
      </c>
      <c r="D153" s="49" t="s">
        <v>288</v>
      </c>
      <c r="E153" s="49" t="s">
        <v>184</v>
      </c>
      <c r="F153" s="49"/>
      <c r="G153" s="49" t="s">
        <v>35</v>
      </c>
      <c r="H153" s="50">
        <v>4000</v>
      </c>
      <c r="I153" s="55">
        <v>800</v>
      </c>
      <c r="J153" s="49" t="s">
        <v>36</v>
      </c>
      <c r="K153" s="49" t="s">
        <v>37</v>
      </c>
    </row>
    <row r="154" spans="1:15" ht="15.75" customHeight="1">
      <c r="A154" s="49">
        <v>14</v>
      </c>
      <c r="B154" s="49" t="s">
        <v>2045</v>
      </c>
      <c r="C154" s="49" t="s">
        <v>227</v>
      </c>
      <c r="D154" s="49" t="s">
        <v>32</v>
      </c>
      <c r="E154" s="49" t="s">
        <v>281</v>
      </c>
      <c r="F154" s="49"/>
      <c r="G154" s="49" t="s">
        <v>35</v>
      </c>
      <c r="H154" s="50">
        <v>8000</v>
      </c>
      <c r="I154" s="55">
        <v>1600</v>
      </c>
      <c r="J154" s="49" t="s">
        <v>36</v>
      </c>
      <c r="K154" s="49" t="s">
        <v>37</v>
      </c>
    </row>
    <row r="155" spans="1:15" ht="15.75" customHeight="1">
      <c r="A155" s="49">
        <v>14</v>
      </c>
      <c r="B155" s="49" t="s">
        <v>2046</v>
      </c>
      <c r="C155" s="49" t="s">
        <v>227</v>
      </c>
      <c r="D155" s="49" t="s">
        <v>1721</v>
      </c>
      <c r="E155" s="49" t="s">
        <v>193</v>
      </c>
      <c r="F155" s="49"/>
      <c r="G155" s="49" t="s">
        <v>35</v>
      </c>
      <c r="H155" s="50">
        <v>5000</v>
      </c>
      <c r="I155" s="55">
        <v>1000</v>
      </c>
      <c r="J155" s="49" t="s">
        <v>36</v>
      </c>
      <c r="K155" s="49" t="s">
        <v>37</v>
      </c>
      <c r="O155" s="4"/>
    </row>
    <row r="156" spans="1:15" ht="15.75" customHeight="1">
      <c r="A156" s="49">
        <v>14</v>
      </c>
      <c r="B156" s="49" t="s">
        <v>2047</v>
      </c>
      <c r="C156" s="49" t="s">
        <v>227</v>
      </c>
      <c r="D156" s="49" t="s">
        <v>1721</v>
      </c>
      <c r="E156" s="49" t="s">
        <v>193</v>
      </c>
      <c r="F156" s="49"/>
      <c r="G156" s="49" t="s">
        <v>35</v>
      </c>
      <c r="H156" s="50">
        <v>18000</v>
      </c>
      <c r="I156" s="55">
        <v>3000</v>
      </c>
      <c r="J156" s="49" t="s">
        <v>36</v>
      </c>
      <c r="K156" s="49" t="s">
        <v>37</v>
      </c>
      <c r="O156" s="4"/>
    </row>
    <row r="157" spans="1:15" ht="15.75" customHeight="1">
      <c r="A157" s="49">
        <v>15</v>
      </c>
      <c r="B157" s="49" t="s">
        <v>2048</v>
      </c>
      <c r="C157" s="49" t="s">
        <v>227</v>
      </c>
      <c r="D157" s="49" t="s">
        <v>728</v>
      </c>
      <c r="E157" s="49" t="s">
        <v>184</v>
      </c>
      <c r="F157" s="49"/>
      <c r="G157" s="49" t="s">
        <v>35</v>
      </c>
      <c r="H157" s="50">
        <v>6000</v>
      </c>
      <c r="I157" s="55">
        <v>1200</v>
      </c>
      <c r="J157" s="49" t="s">
        <v>36</v>
      </c>
      <c r="K157" s="49" t="s">
        <v>37</v>
      </c>
      <c r="O157" s="4"/>
    </row>
    <row r="158" spans="1:15" ht="15.75" customHeight="1">
      <c r="A158" s="49">
        <v>15</v>
      </c>
      <c r="B158" s="49" t="s">
        <v>2049</v>
      </c>
      <c r="C158" s="49" t="s">
        <v>227</v>
      </c>
      <c r="D158" s="49" t="s">
        <v>309</v>
      </c>
      <c r="E158" s="49" t="s">
        <v>248</v>
      </c>
      <c r="F158" s="49"/>
      <c r="G158" s="49" t="s">
        <v>35</v>
      </c>
      <c r="H158" s="50">
        <v>11500</v>
      </c>
      <c r="I158" s="55">
        <v>2300</v>
      </c>
      <c r="J158" s="49" t="s">
        <v>36</v>
      </c>
      <c r="K158" s="49" t="s">
        <v>37</v>
      </c>
      <c r="O158" s="4"/>
    </row>
    <row r="159" spans="1:15" ht="15.75" customHeight="1">
      <c r="A159" s="49">
        <v>15</v>
      </c>
      <c r="B159" s="49" t="s">
        <v>2050</v>
      </c>
      <c r="C159" s="49" t="s">
        <v>227</v>
      </c>
      <c r="D159" s="49" t="s">
        <v>323</v>
      </c>
      <c r="E159" s="49" t="s">
        <v>232</v>
      </c>
      <c r="F159" s="49"/>
      <c r="G159" s="49" t="s">
        <v>35</v>
      </c>
      <c r="H159" s="50">
        <v>1000</v>
      </c>
      <c r="I159" s="55">
        <v>200</v>
      </c>
      <c r="J159" s="49" t="s">
        <v>36</v>
      </c>
      <c r="K159" s="49" t="s">
        <v>37</v>
      </c>
      <c r="O159" s="4"/>
    </row>
    <row r="160" spans="1:15" ht="15.75" customHeight="1">
      <c r="A160" s="49">
        <v>17</v>
      </c>
      <c r="B160" s="49" t="s">
        <v>233</v>
      </c>
      <c r="C160" s="49" t="s">
        <v>227</v>
      </c>
      <c r="D160" s="49" t="s">
        <v>234</v>
      </c>
      <c r="E160" s="49" t="s">
        <v>235</v>
      </c>
      <c r="F160" s="49"/>
      <c r="G160" s="49" t="s">
        <v>35</v>
      </c>
      <c r="H160" s="49">
        <v>300</v>
      </c>
      <c r="I160" s="55">
        <v>60</v>
      </c>
      <c r="J160" s="49" t="s">
        <v>36</v>
      </c>
      <c r="K160" s="49" t="s">
        <v>37</v>
      </c>
      <c r="O160" s="4"/>
    </row>
    <row r="161" spans="1:15" ht="15.75" customHeight="1">
      <c r="A161" s="49">
        <v>17</v>
      </c>
      <c r="B161" s="49" t="s">
        <v>2051</v>
      </c>
      <c r="C161" s="49" t="s">
        <v>227</v>
      </c>
      <c r="D161" s="49" t="s">
        <v>423</v>
      </c>
      <c r="E161" s="49" t="s">
        <v>248</v>
      </c>
      <c r="F161" s="49"/>
      <c r="G161" s="49" t="s">
        <v>35</v>
      </c>
      <c r="H161" s="50">
        <v>4000</v>
      </c>
      <c r="I161" s="55">
        <v>800</v>
      </c>
      <c r="J161" s="49" t="s">
        <v>36</v>
      </c>
      <c r="K161" s="49" t="s">
        <v>37</v>
      </c>
      <c r="O161" s="4"/>
    </row>
    <row r="162" spans="1:15" ht="15.75" customHeight="1">
      <c r="A162" s="49">
        <v>17</v>
      </c>
      <c r="B162" s="49" t="s">
        <v>1130</v>
      </c>
      <c r="C162" s="49" t="s">
        <v>227</v>
      </c>
      <c r="D162" s="49" t="s">
        <v>900</v>
      </c>
      <c r="E162" s="49" t="s">
        <v>156</v>
      </c>
      <c r="F162" s="49"/>
      <c r="G162" s="49" t="s">
        <v>35</v>
      </c>
      <c r="H162" s="50">
        <v>2000</v>
      </c>
      <c r="I162" s="55">
        <v>400</v>
      </c>
      <c r="J162" s="49" t="s">
        <v>36</v>
      </c>
      <c r="K162" s="49" t="s">
        <v>37</v>
      </c>
      <c r="O162" s="4"/>
    </row>
    <row r="163" spans="1:15" ht="15.75" customHeight="1">
      <c r="A163" s="49">
        <v>17</v>
      </c>
      <c r="B163" s="49" t="s">
        <v>2052</v>
      </c>
      <c r="C163" s="49" t="s">
        <v>227</v>
      </c>
      <c r="D163" s="49" t="s">
        <v>819</v>
      </c>
      <c r="E163" s="49" t="s">
        <v>235</v>
      </c>
      <c r="F163" s="49"/>
      <c r="G163" s="49" t="s">
        <v>35</v>
      </c>
      <c r="H163" s="49">
        <v>200</v>
      </c>
      <c r="I163" s="55"/>
      <c r="J163" s="49" t="s">
        <v>43</v>
      </c>
      <c r="K163" s="49" t="s">
        <v>37</v>
      </c>
      <c r="O163" s="4"/>
    </row>
    <row r="164" spans="1:15" ht="15.75" customHeight="1">
      <c r="A164" s="49">
        <v>17</v>
      </c>
      <c r="B164" s="49" t="s">
        <v>994</v>
      </c>
      <c r="C164" s="49" t="s">
        <v>227</v>
      </c>
      <c r="D164" s="49" t="s">
        <v>292</v>
      </c>
      <c r="E164" s="49" t="s">
        <v>235</v>
      </c>
      <c r="F164" s="49"/>
      <c r="G164" s="49" t="s">
        <v>35</v>
      </c>
      <c r="H164" s="50">
        <v>2500</v>
      </c>
      <c r="I164" s="55">
        <v>500</v>
      </c>
      <c r="J164" s="49" t="s">
        <v>36</v>
      </c>
      <c r="K164" s="49" t="s">
        <v>37</v>
      </c>
      <c r="O164" s="4"/>
    </row>
    <row r="165" spans="1:15" ht="15.75" customHeight="1">
      <c r="A165" s="49">
        <v>17</v>
      </c>
      <c r="B165" s="49" t="s">
        <v>2053</v>
      </c>
      <c r="C165" s="49" t="s">
        <v>227</v>
      </c>
      <c r="D165" s="49" t="s">
        <v>515</v>
      </c>
      <c r="E165" s="49" t="s">
        <v>164</v>
      </c>
      <c r="F165" s="49"/>
      <c r="G165" s="49" t="s">
        <v>35</v>
      </c>
      <c r="H165" s="49">
        <v>100</v>
      </c>
      <c r="I165" s="55">
        <v>20</v>
      </c>
      <c r="J165" s="49" t="s">
        <v>36</v>
      </c>
      <c r="K165" s="49" t="s">
        <v>37</v>
      </c>
      <c r="O165" s="4"/>
    </row>
    <row r="166" spans="1:15" ht="15.75" customHeight="1">
      <c r="A166" s="49">
        <v>17</v>
      </c>
      <c r="B166" s="49" t="s">
        <v>2053</v>
      </c>
      <c r="C166" s="49" t="s">
        <v>227</v>
      </c>
      <c r="D166" s="49" t="s">
        <v>515</v>
      </c>
      <c r="E166" s="49" t="s">
        <v>164</v>
      </c>
      <c r="F166" s="49"/>
      <c r="G166" s="49" t="s">
        <v>120</v>
      </c>
      <c r="H166" s="49">
        <v>4</v>
      </c>
      <c r="I166" s="55">
        <v>40</v>
      </c>
      <c r="J166" s="49" t="s">
        <v>36</v>
      </c>
      <c r="K166" s="49" t="s">
        <v>37</v>
      </c>
    </row>
    <row r="167" spans="1:15" ht="15.75" customHeight="1">
      <c r="A167" s="49">
        <v>17</v>
      </c>
      <c r="B167" s="49" t="s">
        <v>842</v>
      </c>
      <c r="C167" s="49" t="s">
        <v>227</v>
      </c>
      <c r="D167" s="49" t="s">
        <v>323</v>
      </c>
      <c r="E167" s="49" t="s">
        <v>232</v>
      </c>
      <c r="F167" s="49"/>
      <c r="G167" s="49" t="s">
        <v>35</v>
      </c>
      <c r="H167" s="50">
        <v>1500</v>
      </c>
      <c r="I167" s="55">
        <v>300</v>
      </c>
      <c r="J167" s="49" t="s">
        <v>36</v>
      </c>
      <c r="K167" s="49" t="s">
        <v>37</v>
      </c>
      <c r="O167" s="4"/>
    </row>
    <row r="168" spans="1:15" ht="15.75" customHeight="1">
      <c r="A168" s="49">
        <v>17</v>
      </c>
      <c r="B168" s="49" t="s">
        <v>2054</v>
      </c>
      <c r="C168" s="49" t="s">
        <v>227</v>
      </c>
      <c r="D168" s="49" t="s">
        <v>231</v>
      </c>
      <c r="E168" s="49" t="s">
        <v>232</v>
      </c>
      <c r="F168" s="49"/>
      <c r="G168" s="49" t="s">
        <v>35</v>
      </c>
      <c r="H168" s="50">
        <v>5500</v>
      </c>
      <c r="I168" s="55">
        <v>1100</v>
      </c>
      <c r="J168" s="49" t="s">
        <v>36</v>
      </c>
      <c r="K168" s="49" t="s">
        <v>37</v>
      </c>
      <c r="O168" s="4"/>
    </row>
    <row r="169" spans="1:15" ht="15.75" customHeight="1">
      <c r="A169" s="49">
        <v>17</v>
      </c>
      <c r="B169" s="49" t="s">
        <v>2054</v>
      </c>
      <c r="C169" s="49" t="s">
        <v>227</v>
      </c>
      <c r="D169" s="49" t="s">
        <v>231</v>
      </c>
      <c r="E169" s="49" t="s">
        <v>232</v>
      </c>
      <c r="F169" s="49"/>
      <c r="G169" s="49" t="s">
        <v>35</v>
      </c>
      <c r="H169" s="49">
        <v>500</v>
      </c>
      <c r="I169" s="55"/>
      <c r="J169" s="49" t="s">
        <v>43</v>
      </c>
      <c r="K169" s="49" t="s">
        <v>37</v>
      </c>
    </row>
    <row r="170" spans="1:15" ht="15.75" customHeight="1">
      <c r="A170" s="49">
        <v>17</v>
      </c>
      <c r="B170" s="49" t="s">
        <v>2055</v>
      </c>
      <c r="C170" s="49" t="s">
        <v>227</v>
      </c>
      <c r="D170" s="49" t="s">
        <v>598</v>
      </c>
      <c r="E170" s="49" t="s">
        <v>232</v>
      </c>
      <c r="F170" s="49"/>
      <c r="G170" s="49" t="s">
        <v>35</v>
      </c>
      <c r="H170" s="50">
        <v>2000</v>
      </c>
      <c r="I170" s="55">
        <v>400</v>
      </c>
      <c r="J170" s="49" t="s">
        <v>36</v>
      </c>
      <c r="K170" s="49" t="s">
        <v>37</v>
      </c>
      <c r="O170" s="4"/>
    </row>
    <row r="171" spans="1:15" ht="15.75" customHeight="1">
      <c r="A171" s="49">
        <v>17</v>
      </c>
      <c r="B171" s="49" t="s">
        <v>367</v>
      </c>
      <c r="C171" s="49" t="s">
        <v>227</v>
      </c>
      <c r="D171" s="49" t="s">
        <v>231</v>
      </c>
      <c r="E171" s="49" t="s">
        <v>232</v>
      </c>
      <c r="F171" s="49"/>
      <c r="G171" s="49" t="s">
        <v>35</v>
      </c>
      <c r="H171" s="50">
        <v>3000</v>
      </c>
      <c r="I171" s="55">
        <v>600</v>
      </c>
      <c r="J171" s="49" t="s">
        <v>36</v>
      </c>
      <c r="K171" s="49" t="s">
        <v>37</v>
      </c>
      <c r="O171" s="4"/>
    </row>
    <row r="172" spans="1:15" ht="15.75" customHeight="1">
      <c r="A172" s="49">
        <v>17</v>
      </c>
      <c r="B172" s="49" t="s">
        <v>2056</v>
      </c>
      <c r="C172" s="49" t="s">
        <v>227</v>
      </c>
      <c r="D172" s="49" t="s">
        <v>464</v>
      </c>
      <c r="E172" s="49" t="s">
        <v>321</v>
      </c>
      <c r="F172" s="49"/>
      <c r="G172" s="49" t="s">
        <v>35</v>
      </c>
      <c r="H172" s="49">
        <v>300</v>
      </c>
      <c r="I172" s="55">
        <v>90</v>
      </c>
      <c r="J172" s="49" t="s">
        <v>36</v>
      </c>
      <c r="K172" s="49" t="s">
        <v>37</v>
      </c>
      <c r="O172" s="4"/>
    </row>
    <row r="173" spans="1:15" ht="15.75" customHeight="1">
      <c r="A173" s="49">
        <v>17</v>
      </c>
      <c r="B173" s="49" t="s">
        <v>2057</v>
      </c>
      <c r="C173" s="49" t="s">
        <v>227</v>
      </c>
      <c r="D173" s="49" t="s">
        <v>464</v>
      </c>
      <c r="E173" s="49" t="s">
        <v>164</v>
      </c>
      <c r="F173" s="49"/>
      <c r="G173" s="49" t="s">
        <v>35</v>
      </c>
      <c r="H173" s="50">
        <v>1000</v>
      </c>
      <c r="I173" s="55">
        <v>300</v>
      </c>
      <c r="J173" s="49" t="s">
        <v>36</v>
      </c>
      <c r="K173" s="49" t="s">
        <v>37</v>
      </c>
      <c r="O173" s="4"/>
    </row>
    <row r="174" spans="1:15" ht="15.75" customHeight="1">
      <c r="A174" s="49">
        <v>17</v>
      </c>
      <c r="B174" s="49" t="s">
        <v>2058</v>
      </c>
      <c r="C174" s="49" t="s">
        <v>227</v>
      </c>
      <c r="D174" s="49" t="s">
        <v>323</v>
      </c>
      <c r="E174" s="49" t="s">
        <v>232</v>
      </c>
      <c r="F174" s="49"/>
      <c r="G174" s="49" t="s">
        <v>35</v>
      </c>
      <c r="H174" s="49">
        <v>500</v>
      </c>
      <c r="I174" s="55">
        <v>100</v>
      </c>
      <c r="J174" s="49" t="s">
        <v>36</v>
      </c>
      <c r="K174" s="49" t="s">
        <v>37</v>
      </c>
      <c r="O174" s="4"/>
    </row>
    <row r="175" spans="1:15" ht="15.75" customHeight="1">
      <c r="A175" s="49">
        <v>17</v>
      </c>
      <c r="B175" s="49" t="s">
        <v>2058</v>
      </c>
      <c r="C175" s="49" t="s">
        <v>227</v>
      </c>
      <c r="D175" s="49" t="s">
        <v>323</v>
      </c>
      <c r="E175" s="49" t="s">
        <v>232</v>
      </c>
      <c r="F175" s="49"/>
      <c r="G175" s="49" t="s">
        <v>35</v>
      </c>
      <c r="H175" s="49">
        <v>500</v>
      </c>
      <c r="I175" s="55"/>
      <c r="J175" s="49" t="s">
        <v>43</v>
      </c>
      <c r="K175" s="49" t="s">
        <v>37</v>
      </c>
    </row>
    <row r="176" spans="1:15" ht="15.75" customHeight="1">
      <c r="A176" s="49">
        <v>17</v>
      </c>
      <c r="B176" s="49" t="s">
        <v>2059</v>
      </c>
      <c r="C176" s="49" t="s">
        <v>227</v>
      </c>
      <c r="D176" s="49" t="s">
        <v>320</v>
      </c>
      <c r="E176" s="49" t="s">
        <v>321</v>
      </c>
      <c r="F176" s="49"/>
      <c r="G176" s="49" t="s">
        <v>35</v>
      </c>
      <c r="H176" s="50">
        <v>6000</v>
      </c>
      <c r="I176" s="55">
        <v>1200</v>
      </c>
      <c r="J176" s="49" t="s">
        <v>36</v>
      </c>
      <c r="K176" s="49" t="s">
        <v>37</v>
      </c>
      <c r="O176" s="4"/>
    </row>
    <row r="177" spans="1:15" ht="15.75" customHeight="1">
      <c r="A177" s="49">
        <v>18</v>
      </c>
      <c r="B177" s="49" t="s">
        <v>2060</v>
      </c>
      <c r="C177" s="49" t="s">
        <v>227</v>
      </c>
      <c r="D177" s="49" t="s">
        <v>32</v>
      </c>
      <c r="E177" s="49" t="s">
        <v>321</v>
      </c>
      <c r="F177" s="49"/>
      <c r="G177" s="49" t="s">
        <v>35</v>
      </c>
      <c r="H177" s="49">
        <v>500</v>
      </c>
      <c r="I177" s="55">
        <v>100</v>
      </c>
      <c r="J177" s="49" t="s">
        <v>36</v>
      </c>
      <c r="K177" s="49" t="s">
        <v>37</v>
      </c>
      <c r="O177" s="4"/>
    </row>
    <row r="178" spans="1:15" ht="15.75" customHeight="1">
      <c r="A178" s="49">
        <v>18</v>
      </c>
      <c r="B178" s="49" t="s">
        <v>2061</v>
      </c>
      <c r="C178" s="49" t="s">
        <v>227</v>
      </c>
      <c r="D178" s="49" t="s">
        <v>2062</v>
      </c>
      <c r="E178" s="49" t="s">
        <v>33</v>
      </c>
      <c r="F178" s="49"/>
      <c r="G178" s="49" t="s">
        <v>35</v>
      </c>
      <c r="H178" s="49">
        <v>700</v>
      </c>
      <c r="I178" s="55">
        <v>140</v>
      </c>
      <c r="J178" s="49" t="s">
        <v>36</v>
      </c>
      <c r="K178" s="49" t="s">
        <v>37</v>
      </c>
      <c r="O178" s="4"/>
    </row>
    <row r="179" spans="1:15" ht="15.75" customHeight="1">
      <c r="A179" s="49">
        <v>18</v>
      </c>
      <c r="B179" s="49" t="s">
        <v>2063</v>
      </c>
      <c r="C179" s="49" t="s">
        <v>227</v>
      </c>
      <c r="D179" s="49" t="s">
        <v>365</v>
      </c>
      <c r="E179" s="49" t="s">
        <v>232</v>
      </c>
      <c r="F179" s="49"/>
      <c r="G179" s="49" t="s">
        <v>35</v>
      </c>
      <c r="H179" s="49">
        <v>200</v>
      </c>
      <c r="I179" s="55">
        <v>40</v>
      </c>
      <c r="J179" s="49" t="s">
        <v>36</v>
      </c>
      <c r="K179" s="49" t="s">
        <v>37</v>
      </c>
      <c r="O179" s="4"/>
    </row>
    <row r="180" spans="1:15" ht="15.75" customHeight="1">
      <c r="A180" s="49">
        <v>18</v>
      </c>
      <c r="B180" s="49" t="s">
        <v>2063</v>
      </c>
      <c r="C180" s="49" t="s">
        <v>227</v>
      </c>
      <c r="D180" s="49" t="s">
        <v>365</v>
      </c>
      <c r="E180" s="49" t="s">
        <v>232</v>
      </c>
      <c r="F180" s="49"/>
      <c r="G180" s="49" t="s">
        <v>35</v>
      </c>
      <c r="H180" s="49">
        <v>500</v>
      </c>
      <c r="I180" s="55"/>
      <c r="J180" s="49" t="s">
        <v>43</v>
      </c>
      <c r="K180" s="49" t="s">
        <v>37</v>
      </c>
    </row>
    <row r="181" spans="1:15" ht="15.75" customHeight="1">
      <c r="A181" s="49">
        <v>19</v>
      </c>
      <c r="B181" s="49" t="s">
        <v>2064</v>
      </c>
      <c r="C181" s="49" t="s">
        <v>227</v>
      </c>
      <c r="D181" s="49" t="s">
        <v>407</v>
      </c>
      <c r="E181" s="49" t="s">
        <v>321</v>
      </c>
      <c r="F181" s="49"/>
      <c r="G181" s="49" t="s">
        <v>35</v>
      </c>
      <c r="H181" s="49">
        <v>200</v>
      </c>
      <c r="I181" s="55">
        <v>40</v>
      </c>
      <c r="J181" s="49" t="s">
        <v>36</v>
      </c>
      <c r="K181" s="49" t="s">
        <v>37</v>
      </c>
      <c r="O181" s="4"/>
    </row>
    <row r="182" spans="1:15" ht="15.75" customHeight="1">
      <c r="A182" s="49">
        <v>19</v>
      </c>
      <c r="B182" s="49" t="s">
        <v>794</v>
      </c>
      <c r="C182" s="49" t="s">
        <v>227</v>
      </c>
      <c r="D182" s="49" t="s">
        <v>385</v>
      </c>
      <c r="E182" s="49" t="s">
        <v>232</v>
      </c>
      <c r="F182" s="49"/>
      <c r="G182" s="49" t="s">
        <v>35</v>
      </c>
      <c r="H182" s="50">
        <v>2000</v>
      </c>
      <c r="I182" s="55">
        <v>400</v>
      </c>
      <c r="J182" s="49" t="s">
        <v>36</v>
      </c>
      <c r="K182" s="49" t="s">
        <v>37</v>
      </c>
      <c r="O182" s="4"/>
    </row>
    <row r="183" spans="1:15" ht="15.75" customHeight="1">
      <c r="A183" s="49">
        <v>19</v>
      </c>
      <c r="B183" s="49" t="s">
        <v>666</v>
      </c>
      <c r="C183" s="49" t="s">
        <v>227</v>
      </c>
      <c r="D183" s="49" t="s">
        <v>464</v>
      </c>
      <c r="E183" s="49" t="s">
        <v>321</v>
      </c>
      <c r="F183" s="49"/>
      <c r="G183" s="49" t="s">
        <v>35</v>
      </c>
      <c r="H183" s="50">
        <v>2500</v>
      </c>
      <c r="I183" s="55">
        <v>500</v>
      </c>
      <c r="J183" s="49" t="s">
        <v>36</v>
      </c>
      <c r="K183" s="49" t="s">
        <v>37</v>
      </c>
      <c r="O183" s="4"/>
    </row>
    <row r="184" spans="1:15" ht="15.75" customHeight="1">
      <c r="A184" s="49">
        <v>19</v>
      </c>
      <c r="B184" s="49" t="s">
        <v>666</v>
      </c>
      <c r="C184" s="49" t="s">
        <v>227</v>
      </c>
      <c r="D184" s="49" t="s">
        <v>464</v>
      </c>
      <c r="E184" s="49" t="s">
        <v>321</v>
      </c>
      <c r="F184" s="49"/>
      <c r="G184" s="49" t="s">
        <v>35</v>
      </c>
      <c r="H184" s="49">
        <v>500</v>
      </c>
      <c r="I184" s="55"/>
      <c r="J184" s="49" t="s">
        <v>43</v>
      </c>
      <c r="K184" s="49" t="s">
        <v>37</v>
      </c>
    </row>
    <row r="185" spans="1:15" ht="15.75" customHeight="1">
      <c r="A185" s="49">
        <v>19</v>
      </c>
      <c r="B185" s="49" t="s">
        <v>2065</v>
      </c>
      <c r="C185" s="49" t="s">
        <v>246</v>
      </c>
      <c r="D185" s="49" t="s">
        <v>812</v>
      </c>
      <c r="E185" s="49" t="s">
        <v>321</v>
      </c>
      <c r="F185" s="49"/>
      <c r="G185" s="49" t="s">
        <v>35</v>
      </c>
      <c r="H185" s="50">
        <v>1000</v>
      </c>
      <c r="I185" s="55">
        <v>200</v>
      </c>
      <c r="J185" s="49" t="s">
        <v>36</v>
      </c>
      <c r="K185" s="49" t="s">
        <v>37</v>
      </c>
      <c r="O185" s="4"/>
    </row>
    <row r="186" spans="1:15" ht="15.75" customHeight="1">
      <c r="A186" s="49">
        <v>19</v>
      </c>
      <c r="B186" s="49" t="s">
        <v>2066</v>
      </c>
      <c r="C186" s="49" t="s">
        <v>227</v>
      </c>
      <c r="D186" s="49" t="s">
        <v>924</v>
      </c>
      <c r="E186" s="49" t="s">
        <v>248</v>
      </c>
      <c r="F186" s="49"/>
      <c r="G186" s="49" t="s">
        <v>35</v>
      </c>
      <c r="H186" s="49">
        <v>500</v>
      </c>
      <c r="I186" s="55">
        <v>100</v>
      </c>
      <c r="J186" s="49" t="s">
        <v>36</v>
      </c>
      <c r="K186" s="49" t="s">
        <v>37</v>
      </c>
      <c r="O186" s="4"/>
    </row>
    <row r="187" spans="1:15" ht="15.75" customHeight="1">
      <c r="A187" s="49">
        <v>20</v>
      </c>
      <c r="B187" s="49" t="s">
        <v>2067</v>
      </c>
      <c r="C187" s="49" t="s">
        <v>227</v>
      </c>
      <c r="D187" s="49" t="s">
        <v>733</v>
      </c>
      <c r="E187" s="49" t="s">
        <v>193</v>
      </c>
      <c r="F187" s="49"/>
      <c r="G187" s="49" t="s">
        <v>35</v>
      </c>
      <c r="H187" s="50">
        <v>4000</v>
      </c>
      <c r="I187" s="55">
        <v>800</v>
      </c>
      <c r="J187" s="49" t="s">
        <v>36</v>
      </c>
      <c r="K187" s="49" t="s">
        <v>37</v>
      </c>
      <c r="O187" s="4"/>
    </row>
    <row r="188" spans="1:15" ht="15.75" customHeight="1">
      <c r="A188" s="49">
        <v>20</v>
      </c>
      <c r="B188" s="49" t="s">
        <v>2068</v>
      </c>
      <c r="C188" s="49" t="s">
        <v>227</v>
      </c>
      <c r="D188" s="49" t="s">
        <v>772</v>
      </c>
      <c r="E188" s="49" t="s">
        <v>232</v>
      </c>
      <c r="F188" s="49"/>
      <c r="G188" s="49" t="s">
        <v>35</v>
      </c>
      <c r="H188" s="50">
        <v>1000</v>
      </c>
      <c r="I188" s="55">
        <v>300</v>
      </c>
      <c r="J188" s="49" t="s">
        <v>36</v>
      </c>
      <c r="K188" s="49" t="s">
        <v>37</v>
      </c>
      <c r="O188" s="4"/>
    </row>
    <row r="189" spans="1:15" ht="15.75" customHeight="1">
      <c r="A189" s="49">
        <v>20</v>
      </c>
      <c r="B189" s="49" t="s">
        <v>2069</v>
      </c>
      <c r="C189" s="49" t="s">
        <v>227</v>
      </c>
      <c r="D189" s="49" t="s">
        <v>262</v>
      </c>
      <c r="E189" s="49" t="s">
        <v>232</v>
      </c>
      <c r="F189" s="49"/>
      <c r="G189" s="49" t="s">
        <v>35</v>
      </c>
      <c r="H189" s="50">
        <v>1000</v>
      </c>
      <c r="I189" s="55">
        <v>200</v>
      </c>
      <c r="J189" s="49" t="s">
        <v>36</v>
      </c>
      <c r="K189" s="49" t="s">
        <v>37</v>
      </c>
      <c r="O189" s="4"/>
    </row>
    <row r="190" spans="1:15" ht="15.75" customHeight="1">
      <c r="A190" s="49">
        <v>20</v>
      </c>
      <c r="B190" s="49" t="s">
        <v>2069</v>
      </c>
      <c r="C190" s="49" t="s">
        <v>227</v>
      </c>
      <c r="D190" s="49" t="s">
        <v>262</v>
      </c>
      <c r="E190" s="49" t="s">
        <v>232</v>
      </c>
      <c r="F190" s="49"/>
      <c r="G190" s="49" t="s">
        <v>35</v>
      </c>
      <c r="H190" s="49">
        <v>500</v>
      </c>
      <c r="I190" s="55"/>
      <c r="J190" s="49" t="s">
        <v>43</v>
      </c>
      <c r="K190" s="49" t="s">
        <v>37</v>
      </c>
    </row>
    <row r="191" spans="1:15" ht="15.75" customHeight="1">
      <c r="A191" s="49">
        <v>20</v>
      </c>
      <c r="B191" s="49" t="s">
        <v>2070</v>
      </c>
      <c r="C191" s="49" t="s">
        <v>227</v>
      </c>
      <c r="D191" s="49" t="s">
        <v>392</v>
      </c>
      <c r="E191" s="49" t="s">
        <v>148</v>
      </c>
      <c r="F191" s="49"/>
      <c r="G191" s="49" t="s">
        <v>35</v>
      </c>
      <c r="H191" s="50">
        <v>5000</v>
      </c>
      <c r="I191" s="55">
        <v>1000</v>
      </c>
      <c r="J191" s="49" t="s">
        <v>36</v>
      </c>
      <c r="K191" s="49" t="s">
        <v>37</v>
      </c>
      <c r="O191" s="4"/>
    </row>
    <row r="192" spans="1:15" ht="15.75" customHeight="1">
      <c r="A192" s="49">
        <v>20</v>
      </c>
      <c r="B192" s="49" t="s">
        <v>2071</v>
      </c>
      <c r="C192" s="49" t="s">
        <v>227</v>
      </c>
      <c r="D192" s="49" t="s">
        <v>760</v>
      </c>
      <c r="E192" s="49" t="s">
        <v>241</v>
      </c>
      <c r="F192" s="49"/>
      <c r="G192" s="49" t="s">
        <v>35</v>
      </c>
      <c r="H192" s="50">
        <v>1000</v>
      </c>
      <c r="I192" s="55">
        <v>200</v>
      </c>
      <c r="J192" s="49" t="s">
        <v>36</v>
      </c>
      <c r="K192" s="49" t="s">
        <v>37</v>
      </c>
      <c r="O192" s="4"/>
    </row>
    <row r="193" spans="1:15" ht="15.75" customHeight="1">
      <c r="A193" s="49">
        <v>21</v>
      </c>
      <c r="B193" s="49" t="s">
        <v>2072</v>
      </c>
      <c r="C193" s="49" t="s">
        <v>227</v>
      </c>
      <c r="D193" s="49" t="s">
        <v>452</v>
      </c>
      <c r="E193" s="49" t="s">
        <v>48</v>
      </c>
      <c r="F193" s="49"/>
      <c r="G193" s="49" t="s">
        <v>35</v>
      </c>
      <c r="H193" s="50">
        <v>300</v>
      </c>
      <c r="I193" s="55">
        <v>60</v>
      </c>
      <c r="J193" s="49" t="s">
        <v>36</v>
      </c>
      <c r="K193" s="49" t="s">
        <v>37</v>
      </c>
      <c r="O193" s="4"/>
    </row>
    <row r="194" spans="1:15" ht="15.75" customHeight="1">
      <c r="A194" s="49">
        <v>21</v>
      </c>
      <c r="B194" s="49" t="s">
        <v>2073</v>
      </c>
      <c r="C194" s="49" t="s">
        <v>246</v>
      </c>
      <c r="D194" s="49" t="s">
        <v>444</v>
      </c>
      <c r="E194" s="49" t="s">
        <v>235</v>
      </c>
      <c r="F194" s="49"/>
      <c r="G194" s="49" t="s">
        <v>35</v>
      </c>
      <c r="H194" s="50">
        <v>100</v>
      </c>
      <c r="I194" s="55">
        <v>30</v>
      </c>
      <c r="J194" s="49" t="s">
        <v>36</v>
      </c>
      <c r="K194" s="49" t="s">
        <v>37</v>
      </c>
      <c r="O194" s="4"/>
    </row>
    <row r="195" spans="1:15" ht="15.75" customHeight="1">
      <c r="A195" s="49">
        <v>21</v>
      </c>
      <c r="B195" s="49" t="s">
        <v>2073</v>
      </c>
      <c r="C195" s="49" t="s">
        <v>246</v>
      </c>
      <c r="D195" s="49" t="s">
        <v>444</v>
      </c>
      <c r="E195" s="49" t="s">
        <v>235</v>
      </c>
      <c r="F195" s="49"/>
      <c r="G195" s="49" t="s">
        <v>120</v>
      </c>
      <c r="H195" s="50">
        <v>2</v>
      </c>
      <c r="I195" s="55">
        <v>20</v>
      </c>
      <c r="J195" s="49" t="s">
        <v>36</v>
      </c>
      <c r="K195" s="49" t="s">
        <v>37</v>
      </c>
      <c r="O195" s="4"/>
    </row>
    <row r="196" spans="1:15" ht="15.75" customHeight="1">
      <c r="A196" s="49">
        <v>21</v>
      </c>
      <c r="B196" s="49" t="s">
        <v>660</v>
      </c>
      <c r="C196" s="49" t="s">
        <v>227</v>
      </c>
      <c r="D196" s="49" t="s">
        <v>619</v>
      </c>
      <c r="E196" s="49" t="s">
        <v>193</v>
      </c>
      <c r="F196" s="49"/>
      <c r="G196" s="49" t="s">
        <v>35</v>
      </c>
      <c r="H196" s="50">
        <v>3000</v>
      </c>
      <c r="I196" s="55">
        <v>600</v>
      </c>
      <c r="J196" s="49" t="s">
        <v>36</v>
      </c>
      <c r="K196" s="49" t="s">
        <v>37</v>
      </c>
      <c r="O196" s="4"/>
    </row>
    <row r="197" spans="1:15" ht="15.75" customHeight="1">
      <c r="A197" s="49">
        <v>22</v>
      </c>
      <c r="B197" s="49" t="s">
        <v>2074</v>
      </c>
      <c r="C197" s="49" t="s">
        <v>227</v>
      </c>
      <c r="D197" s="49" t="s">
        <v>234</v>
      </c>
      <c r="E197" s="49" t="s">
        <v>235</v>
      </c>
      <c r="F197" s="49"/>
      <c r="G197" s="49" t="s">
        <v>35</v>
      </c>
      <c r="H197" s="50">
        <v>200</v>
      </c>
      <c r="I197" s="55"/>
      <c r="J197" s="49" t="s">
        <v>43</v>
      </c>
      <c r="K197" s="49" t="s">
        <v>37</v>
      </c>
      <c r="O197" s="4"/>
    </row>
    <row r="198" spans="1:15" ht="15.75" customHeight="1">
      <c r="A198" s="49">
        <v>22</v>
      </c>
      <c r="B198" s="49" t="s">
        <v>1790</v>
      </c>
      <c r="C198" s="49" t="s">
        <v>227</v>
      </c>
      <c r="D198" s="49" t="s">
        <v>916</v>
      </c>
      <c r="E198" s="49" t="s">
        <v>917</v>
      </c>
      <c r="F198" s="49"/>
      <c r="G198" s="49" t="s">
        <v>35</v>
      </c>
      <c r="H198" s="50">
        <v>5000</v>
      </c>
      <c r="I198" s="55">
        <v>1000</v>
      </c>
      <c r="J198" s="49" t="s">
        <v>36</v>
      </c>
      <c r="K198" s="49" t="s">
        <v>37</v>
      </c>
      <c r="O198" s="4"/>
    </row>
    <row r="199" spans="1:15" ht="15.75" customHeight="1">
      <c r="A199" s="49">
        <v>22</v>
      </c>
      <c r="B199" s="49" t="s">
        <v>2075</v>
      </c>
      <c r="C199" s="49" t="s">
        <v>246</v>
      </c>
      <c r="D199" s="49" t="s">
        <v>548</v>
      </c>
      <c r="E199" s="49" t="s">
        <v>48</v>
      </c>
      <c r="F199" s="49"/>
      <c r="G199" s="49" t="s">
        <v>35</v>
      </c>
      <c r="H199" s="50">
        <v>5000</v>
      </c>
      <c r="I199" s="55">
        <v>1000</v>
      </c>
      <c r="J199" s="49" t="s">
        <v>36</v>
      </c>
      <c r="K199" s="49" t="s">
        <v>37</v>
      </c>
      <c r="O199" s="4"/>
    </row>
    <row r="200" spans="1:15" ht="15.75" customHeight="1">
      <c r="A200" s="49">
        <v>22</v>
      </c>
      <c r="B200" s="49" t="s">
        <v>2076</v>
      </c>
      <c r="C200" s="49" t="s">
        <v>227</v>
      </c>
      <c r="D200" s="49" t="s">
        <v>365</v>
      </c>
      <c r="E200" s="49" t="s">
        <v>232</v>
      </c>
      <c r="F200" s="49"/>
      <c r="G200" s="49" t="s">
        <v>35</v>
      </c>
      <c r="H200" s="50">
        <v>200</v>
      </c>
      <c r="I200" s="55">
        <v>40</v>
      </c>
      <c r="J200" s="49" t="s">
        <v>36</v>
      </c>
      <c r="K200" s="49" t="s">
        <v>37</v>
      </c>
      <c r="O200" s="4"/>
    </row>
    <row r="201" spans="1:15" ht="15.75" customHeight="1">
      <c r="A201" s="49">
        <v>22</v>
      </c>
      <c r="B201" s="49" t="s">
        <v>2076</v>
      </c>
      <c r="C201" s="49" t="s">
        <v>227</v>
      </c>
      <c r="D201" s="49" t="s">
        <v>365</v>
      </c>
      <c r="E201" s="49" t="s">
        <v>232</v>
      </c>
      <c r="F201" s="49"/>
      <c r="G201" s="49" t="s">
        <v>35</v>
      </c>
      <c r="H201" s="50">
        <v>500</v>
      </c>
      <c r="I201" s="55"/>
      <c r="J201" s="49" t="s">
        <v>43</v>
      </c>
      <c r="K201" s="49" t="s">
        <v>37</v>
      </c>
      <c r="O201" s="4"/>
    </row>
    <row r="202" spans="1:15" ht="15.75" customHeight="1">
      <c r="A202" s="49">
        <v>22</v>
      </c>
      <c r="B202" s="49" t="s">
        <v>2077</v>
      </c>
      <c r="C202" s="49" t="s">
        <v>227</v>
      </c>
      <c r="D202" s="49" t="s">
        <v>365</v>
      </c>
      <c r="E202" s="49" t="s">
        <v>232</v>
      </c>
      <c r="F202" s="49"/>
      <c r="G202" s="49" t="s">
        <v>35</v>
      </c>
      <c r="H202" s="50">
        <v>200</v>
      </c>
      <c r="I202" s="55">
        <v>40</v>
      </c>
      <c r="J202" s="49" t="s">
        <v>36</v>
      </c>
      <c r="K202" s="49" t="s">
        <v>37</v>
      </c>
      <c r="O202" s="4"/>
    </row>
    <row r="203" spans="1:15" ht="15.75" customHeight="1">
      <c r="A203" s="49">
        <v>22</v>
      </c>
      <c r="B203" s="49" t="s">
        <v>2077</v>
      </c>
      <c r="C203" s="49" t="s">
        <v>227</v>
      </c>
      <c r="D203" s="49" t="s">
        <v>365</v>
      </c>
      <c r="E203" s="49" t="s">
        <v>232</v>
      </c>
      <c r="F203" s="49"/>
      <c r="G203" s="49" t="s">
        <v>35</v>
      </c>
      <c r="H203" s="50">
        <v>500</v>
      </c>
      <c r="I203" s="55"/>
      <c r="J203" s="49" t="s">
        <v>43</v>
      </c>
      <c r="K203" s="49" t="s">
        <v>37</v>
      </c>
      <c r="O203" s="4"/>
    </row>
    <row r="204" spans="1:15" ht="15.75" customHeight="1">
      <c r="A204" s="49">
        <v>22</v>
      </c>
      <c r="B204" s="49" t="s">
        <v>2078</v>
      </c>
      <c r="C204" s="49" t="s">
        <v>246</v>
      </c>
      <c r="D204" s="49" t="s">
        <v>772</v>
      </c>
      <c r="E204" s="49" t="s">
        <v>232</v>
      </c>
      <c r="F204" s="49"/>
      <c r="G204" s="49" t="s">
        <v>35</v>
      </c>
      <c r="H204" s="50">
        <v>250</v>
      </c>
      <c r="I204" s="55">
        <v>100</v>
      </c>
      <c r="J204" s="49" t="s">
        <v>36</v>
      </c>
      <c r="K204" s="49" t="s">
        <v>37</v>
      </c>
      <c r="O204" s="4"/>
    </row>
    <row r="205" spans="1:15" ht="15.75" customHeight="1">
      <c r="A205" s="49">
        <v>22</v>
      </c>
      <c r="B205" s="49" t="s">
        <v>2078</v>
      </c>
      <c r="C205" s="49" t="s">
        <v>246</v>
      </c>
      <c r="D205" s="49" t="s">
        <v>772</v>
      </c>
      <c r="E205" s="49" t="s">
        <v>232</v>
      </c>
      <c r="F205" s="49"/>
      <c r="G205" s="49" t="s">
        <v>35</v>
      </c>
      <c r="H205" s="50">
        <v>500</v>
      </c>
      <c r="I205" s="55"/>
      <c r="J205" s="49" t="s">
        <v>43</v>
      </c>
      <c r="K205" s="49" t="s">
        <v>37</v>
      </c>
      <c r="O205" s="4"/>
    </row>
    <row r="206" spans="1:15" ht="15.75" customHeight="1">
      <c r="A206" s="49">
        <v>25</v>
      </c>
      <c r="B206" s="49" t="s">
        <v>2079</v>
      </c>
      <c r="C206" s="49" t="s">
        <v>227</v>
      </c>
      <c r="D206" s="49" t="s">
        <v>277</v>
      </c>
      <c r="E206" s="49" t="s">
        <v>232</v>
      </c>
      <c r="F206" s="49"/>
      <c r="G206" s="49" t="s">
        <v>35</v>
      </c>
      <c r="H206" s="50">
        <v>4000</v>
      </c>
      <c r="I206" s="55">
        <v>800</v>
      </c>
      <c r="J206" s="49" t="s">
        <v>36</v>
      </c>
      <c r="K206" s="49" t="s">
        <v>37</v>
      </c>
      <c r="O206" s="4"/>
    </row>
    <row r="207" spans="1:15" ht="15.75" customHeight="1">
      <c r="A207" s="49">
        <v>25</v>
      </c>
      <c r="B207" s="49" t="s">
        <v>2080</v>
      </c>
      <c r="C207" s="49" t="s">
        <v>227</v>
      </c>
      <c r="D207" s="49" t="s">
        <v>2081</v>
      </c>
      <c r="E207" s="49" t="s">
        <v>251</v>
      </c>
      <c r="F207" s="49"/>
      <c r="G207" s="49" t="s">
        <v>120</v>
      </c>
      <c r="H207" s="50">
        <v>10</v>
      </c>
      <c r="I207" s="55">
        <v>200</v>
      </c>
      <c r="J207" s="49" t="s">
        <v>36</v>
      </c>
      <c r="K207" s="49" t="s">
        <v>37</v>
      </c>
      <c r="O207" s="4"/>
    </row>
    <row r="208" spans="1:15" ht="15.75" customHeight="1">
      <c r="A208" s="49">
        <v>25</v>
      </c>
      <c r="B208" s="49" t="s">
        <v>2082</v>
      </c>
      <c r="C208" s="49" t="s">
        <v>227</v>
      </c>
      <c r="D208" s="49" t="s">
        <v>2062</v>
      </c>
      <c r="E208" s="49" t="s">
        <v>33</v>
      </c>
      <c r="F208" s="49"/>
      <c r="G208" s="49" t="s">
        <v>35</v>
      </c>
      <c r="H208" s="50">
        <v>600</v>
      </c>
      <c r="I208" s="55">
        <v>120</v>
      </c>
      <c r="J208" s="49" t="s">
        <v>36</v>
      </c>
      <c r="K208" s="49" t="s">
        <v>37</v>
      </c>
      <c r="O208" s="4"/>
    </row>
    <row r="209" spans="1:15" ht="15.75" customHeight="1">
      <c r="A209" s="49">
        <v>25</v>
      </c>
      <c r="B209" s="49" t="s">
        <v>1969</v>
      </c>
      <c r="C209" s="49" t="s">
        <v>246</v>
      </c>
      <c r="D209" s="49" t="s">
        <v>345</v>
      </c>
      <c r="E209" s="49" t="s">
        <v>41</v>
      </c>
      <c r="F209" s="49"/>
      <c r="G209" s="49" t="s">
        <v>35</v>
      </c>
      <c r="H209" s="50">
        <v>1000</v>
      </c>
      <c r="I209" s="55">
        <v>200</v>
      </c>
      <c r="J209" s="49" t="s">
        <v>36</v>
      </c>
      <c r="K209" s="49" t="s">
        <v>37</v>
      </c>
      <c r="O209" s="4"/>
    </row>
    <row r="210" spans="1:15" ht="15.75" customHeight="1">
      <c r="A210" s="49">
        <v>25</v>
      </c>
      <c r="B210" s="49" t="s">
        <v>465</v>
      </c>
      <c r="C210" s="49" t="s">
        <v>227</v>
      </c>
      <c r="D210" s="49" t="s">
        <v>466</v>
      </c>
      <c r="E210" s="49" t="s">
        <v>467</v>
      </c>
      <c r="F210" s="49"/>
      <c r="G210" s="49" t="s">
        <v>35</v>
      </c>
      <c r="H210" s="50">
        <v>50</v>
      </c>
      <c r="I210" s="55">
        <v>10</v>
      </c>
      <c r="J210" s="49" t="s">
        <v>36</v>
      </c>
      <c r="K210" s="49" t="s">
        <v>37</v>
      </c>
      <c r="O210" s="4"/>
    </row>
    <row r="211" spans="1:15" ht="15.75" customHeight="1">
      <c r="A211" s="49">
        <v>25</v>
      </c>
      <c r="B211" s="49" t="s">
        <v>465</v>
      </c>
      <c r="C211" s="49" t="s">
        <v>227</v>
      </c>
      <c r="D211" s="49" t="s">
        <v>466</v>
      </c>
      <c r="E211" s="49" t="s">
        <v>467</v>
      </c>
      <c r="F211" s="49"/>
      <c r="G211" s="49" t="s">
        <v>120</v>
      </c>
      <c r="H211" s="50">
        <v>36</v>
      </c>
      <c r="I211" s="55">
        <v>720</v>
      </c>
      <c r="J211" s="49" t="s">
        <v>36</v>
      </c>
      <c r="K211" s="49" t="s">
        <v>37</v>
      </c>
      <c r="O211" s="4"/>
    </row>
    <row r="212" spans="1:15" ht="15.75" customHeight="1">
      <c r="A212" s="49">
        <v>25</v>
      </c>
      <c r="B212" s="49" t="s">
        <v>2083</v>
      </c>
      <c r="C212" s="49" t="s">
        <v>227</v>
      </c>
      <c r="D212" s="49" t="s">
        <v>444</v>
      </c>
      <c r="E212" s="49" t="s">
        <v>235</v>
      </c>
      <c r="F212" s="49"/>
      <c r="G212" s="49" t="s">
        <v>120</v>
      </c>
      <c r="H212" s="50">
        <v>5</v>
      </c>
      <c r="I212" s="55">
        <v>100</v>
      </c>
      <c r="J212" s="49" t="s">
        <v>36</v>
      </c>
      <c r="K212" s="49" t="s">
        <v>37</v>
      </c>
      <c r="O212" s="4"/>
    </row>
    <row r="213" spans="1:15" ht="15.75" customHeight="1">
      <c r="A213" s="49">
        <v>26</v>
      </c>
      <c r="B213" s="49" t="s">
        <v>2084</v>
      </c>
      <c r="C213" s="49" t="s">
        <v>227</v>
      </c>
      <c r="D213" s="49" t="s">
        <v>1288</v>
      </c>
      <c r="E213" s="49" t="s">
        <v>307</v>
      </c>
      <c r="F213" s="49"/>
      <c r="G213" s="49" t="s">
        <v>120</v>
      </c>
      <c r="H213" s="50">
        <v>60</v>
      </c>
      <c r="I213" s="55">
        <v>300</v>
      </c>
      <c r="J213" s="49" t="s">
        <v>36</v>
      </c>
      <c r="K213" s="49" t="s">
        <v>37</v>
      </c>
      <c r="O213" s="4"/>
    </row>
    <row r="214" spans="1:15" ht="15.75" customHeight="1">
      <c r="A214" s="49">
        <v>26</v>
      </c>
      <c r="B214" s="49" t="s">
        <v>2085</v>
      </c>
      <c r="C214" s="49" t="s">
        <v>246</v>
      </c>
      <c r="D214" s="49" t="s">
        <v>1190</v>
      </c>
      <c r="E214" s="49" t="s">
        <v>241</v>
      </c>
      <c r="F214" s="49"/>
      <c r="G214" s="49" t="s">
        <v>35</v>
      </c>
      <c r="H214" s="50">
        <v>1000</v>
      </c>
      <c r="I214" s="55">
        <v>200</v>
      </c>
      <c r="J214" s="49" t="s">
        <v>36</v>
      </c>
      <c r="K214" s="49" t="s">
        <v>37</v>
      </c>
      <c r="O214" s="4"/>
    </row>
    <row r="215" spans="1:15" ht="15.75" customHeight="1">
      <c r="A215" s="49">
        <v>26</v>
      </c>
      <c r="B215" s="49" t="s">
        <v>2086</v>
      </c>
      <c r="C215" s="49" t="s">
        <v>227</v>
      </c>
      <c r="D215" s="49"/>
      <c r="E215" s="49" t="s">
        <v>75</v>
      </c>
      <c r="F215" s="49"/>
      <c r="G215" s="49" t="s">
        <v>170</v>
      </c>
      <c r="H215" s="50">
        <v>500</v>
      </c>
      <c r="I215" s="55">
        <v>300</v>
      </c>
      <c r="J215" s="49" t="s">
        <v>36</v>
      </c>
      <c r="K215" s="49" t="s">
        <v>37</v>
      </c>
      <c r="O215" s="4"/>
    </row>
    <row r="216" spans="1:15" ht="15.75" customHeight="1">
      <c r="A216" s="49">
        <v>26</v>
      </c>
      <c r="B216" s="49" t="s">
        <v>2087</v>
      </c>
      <c r="C216" s="49" t="s">
        <v>227</v>
      </c>
      <c r="D216" s="49" t="s">
        <v>662</v>
      </c>
      <c r="E216" s="49" t="s">
        <v>241</v>
      </c>
      <c r="F216" s="49"/>
      <c r="G216" s="49" t="s">
        <v>35</v>
      </c>
      <c r="H216" s="50">
        <v>100</v>
      </c>
      <c r="I216" s="55">
        <v>20</v>
      </c>
      <c r="J216" s="49" t="s">
        <v>36</v>
      </c>
      <c r="K216" s="49" t="s">
        <v>37</v>
      </c>
      <c r="O216" s="4"/>
    </row>
    <row r="217" spans="1:15" ht="15.75" customHeight="1">
      <c r="A217" s="49">
        <v>26</v>
      </c>
      <c r="B217" s="49" t="s">
        <v>2088</v>
      </c>
      <c r="C217" s="49" t="s">
        <v>246</v>
      </c>
      <c r="D217" s="49" t="s">
        <v>879</v>
      </c>
      <c r="E217" s="49" t="s">
        <v>51</v>
      </c>
      <c r="F217" s="49"/>
      <c r="G217" s="49" t="s">
        <v>35</v>
      </c>
      <c r="H217" s="50">
        <v>300</v>
      </c>
      <c r="I217" s="55">
        <v>60</v>
      </c>
      <c r="J217" s="49" t="s">
        <v>36</v>
      </c>
      <c r="K217" s="49" t="s">
        <v>37</v>
      </c>
      <c r="O217" s="4"/>
    </row>
    <row r="218" spans="1:15" ht="15.75" customHeight="1">
      <c r="A218" s="49">
        <v>26</v>
      </c>
      <c r="B218" s="49" t="s">
        <v>2089</v>
      </c>
      <c r="C218" s="49" t="s">
        <v>227</v>
      </c>
      <c r="D218" s="49" t="s">
        <v>947</v>
      </c>
      <c r="E218" s="49" t="s">
        <v>164</v>
      </c>
      <c r="F218" s="49"/>
      <c r="G218" s="49" t="s">
        <v>35</v>
      </c>
      <c r="H218" s="50">
        <v>200</v>
      </c>
      <c r="I218" s="55">
        <v>40</v>
      </c>
      <c r="J218" s="49" t="s">
        <v>36</v>
      </c>
      <c r="K218" s="49" t="s">
        <v>37</v>
      </c>
      <c r="O218" s="4"/>
    </row>
    <row r="219" spans="1:15" ht="15.75" customHeight="1">
      <c r="A219" s="49">
        <v>26</v>
      </c>
      <c r="B219" s="49" t="s">
        <v>2090</v>
      </c>
      <c r="C219" s="49" t="s">
        <v>227</v>
      </c>
      <c r="D219" s="49" t="s">
        <v>365</v>
      </c>
      <c r="E219" s="49" t="s">
        <v>232</v>
      </c>
      <c r="F219" s="49"/>
      <c r="G219" s="49" t="s">
        <v>35</v>
      </c>
      <c r="H219" s="50">
        <v>500</v>
      </c>
      <c r="I219" s="55"/>
      <c r="J219" s="49" t="s">
        <v>43</v>
      </c>
      <c r="K219" s="49" t="s">
        <v>37</v>
      </c>
      <c r="O219" s="4"/>
    </row>
    <row r="220" spans="1:15" ht="15.75" customHeight="1">
      <c r="A220" s="49">
        <v>26</v>
      </c>
      <c r="B220" s="49" t="s">
        <v>2090</v>
      </c>
      <c r="C220" s="49" t="s">
        <v>227</v>
      </c>
      <c r="D220" s="49" t="s">
        <v>365</v>
      </c>
      <c r="E220" s="49" t="s">
        <v>232</v>
      </c>
      <c r="F220" s="49"/>
      <c r="G220" s="49" t="s">
        <v>170</v>
      </c>
      <c r="H220" s="50">
        <v>200</v>
      </c>
      <c r="I220" s="55">
        <v>120</v>
      </c>
      <c r="J220" s="49" t="s">
        <v>36</v>
      </c>
      <c r="K220" s="49" t="s">
        <v>37</v>
      </c>
      <c r="O220" s="4"/>
    </row>
    <row r="221" spans="1:15" ht="15.75" customHeight="1">
      <c r="A221" s="49">
        <v>26</v>
      </c>
      <c r="B221" s="49" t="s">
        <v>2091</v>
      </c>
      <c r="C221" s="49" t="s">
        <v>227</v>
      </c>
      <c r="D221" s="49" t="s">
        <v>198</v>
      </c>
      <c r="E221" s="49" t="s">
        <v>142</v>
      </c>
      <c r="F221" s="49"/>
      <c r="G221" s="49" t="s">
        <v>120</v>
      </c>
      <c r="H221" s="50">
        <v>10</v>
      </c>
      <c r="I221" s="55">
        <v>100</v>
      </c>
      <c r="J221" s="49" t="s">
        <v>36</v>
      </c>
      <c r="K221" s="49" t="s">
        <v>37</v>
      </c>
      <c r="O221" s="4"/>
    </row>
    <row r="222" spans="1:15" ht="15.75" customHeight="1">
      <c r="A222" s="49">
        <v>26</v>
      </c>
      <c r="B222" s="49" t="s">
        <v>2092</v>
      </c>
      <c r="C222" s="49" t="s">
        <v>227</v>
      </c>
      <c r="D222" s="49" t="s">
        <v>421</v>
      </c>
      <c r="E222" s="49" t="s">
        <v>251</v>
      </c>
      <c r="F222" s="49"/>
      <c r="G222" s="49" t="s">
        <v>120</v>
      </c>
      <c r="H222" s="50">
        <v>20</v>
      </c>
      <c r="I222" s="55">
        <v>200</v>
      </c>
      <c r="J222" s="49" t="s">
        <v>36</v>
      </c>
      <c r="K222" s="49" t="s">
        <v>37</v>
      </c>
      <c r="O222" s="4"/>
    </row>
    <row r="223" spans="1:15" ht="15.75" customHeight="1">
      <c r="A223" s="49">
        <v>26</v>
      </c>
      <c r="B223" s="49" t="s">
        <v>2093</v>
      </c>
      <c r="C223" s="49" t="s">
        <v>246</v>
      </c>
      <c r="D223" s="49" t="s">
        <v>736</v>
      </c>
      <c r="E223" s="49" t="s">
        <v>248</v>
      </c>
      <c r="F223" s="49"/>
      <c r="G223" s="49" t="s">
        <v>35</v>
      </c>
      <c r="H223" s="50">
        <v>2500</v>
      </c>
      <c r="I223" s="55">
        <v>500</v>
      </c>
      <c r="J223" s="49" t="s">
        <v>36</v>
      </c>
      <c r="K223" s="49" t="s">
        <v>37</v>
      </c>
      <c r="O223" s="4"/>
    </row>
    <row r="224" spans="1:15" ht="15.75" customHeight="1">
      <c r="A224" s="49">
        <v>26</v>
      </c>
      <c r="B224" s="49" t="s">
        <v>2094</v>
      </c>
      <c r="C224" s="49" t="s">
        <v>227</v>
      </c>
      <c r="D224" s="49" t="s">
        <v>385</v>
      </c>
      <c r="E224" s="49" t="s">
        <v>232</v>
      </c>
      <c r="F224" s="49"/>
      <c r="G224" s="49" t="s">
        <v>35</v>
      </c>
      <c r="H224" s="50">
        <v>1000</v>
      </c>
      <c r="I224" s="55">
        <v>200</v>
      </c>
      <c r="J224" s="49" t="s">
        <v>36</v>
      </c>
      <c r="K224" s="49" t="s">
        <v>37</v>
      </c>
      <c r="O224" s="4"/>
    </row>
    <row r="225" spans="1:15" ht="15.75" customHeight="1">
      <c r="A225" s="49">
        <v>26</v>
      </c>
      <c r="B225" s="49" t="s">
        <v>2095</v>
      </c>
      <c r="C225" s="49" t="s">
        <v>227</v>
      </c>
      <c r="D225" s="49" t="s">
        <v>924</v>
      </c>
      <c r="E225" s="49" t="s">
        <v>248</v>
      </c>
      <c r="F225" s="49"/>
      <c r="G225" s="49" t="s">
        <v>35</v>
      </c>
      <c r="H225" s="50">
        <v>3000</v>
      </c>
      <c r="I225" s="55">
        <v>600</v>
      </c>
      <c r="J225" s="49" t="s">
        <v>36</v>
      </c>
      <c r="K225" s="49" t="s">
        <v>37</v>
      </c>
      <c r="O225" s="4"/>
    </row>
    <row r="226" spans="1:15" ht="15.75" customHeight="1">
      <c r="A226" s="49">
        <v>27</v>
      </c>
      <c r="B226" s="49" t="s">
        <v>2096</v>
      </c>
      <c r="C226" s="49" t="s">
        <v>246</v>
      </c>
      <c r="D226" s="49" t="s">
        <v>396</v>
      </c>
      <c r="E226" s="49" t="s">
        <v>307</v>
      </c>
      <c r="F226" s="49"/>
      <c r="G226" s="49" t="s">
        <v>35</v>
      </c>
      <c r="H226" s="50">
        <v>100</v>
      </c>
      <c r="I226" s="55">
        <v>20</v>
      </c>
      <c r="J226" s="49" t="s">
        <v>36</v>
      </c>
      <c r="K226" s="49" t="s">
        <v>37</v>
      </c>
      <c r="O226" s="4"/>
    </row>
    <row r="227" spans="1:15" ht="15.75" customHeight="1">
      <c r="A227" s="49">
        <v>27</v>
      </c>
      <c r="B227" s="49" t="s">
        <v>2096</v>
      </c>
      <c r="C227" s="49" t="s">
        <v>246</v>
      </c>
      <c r="D227" s="49" t="s">
        <v>396</v>
      </c>
      <c r="E227" s="49" t="s">
        <v>307</v>
      </c>
      <c r="F227" s="49"/>
      <c r="G227" s="49" t="s">
        <v>120</v>
      </c>
      <c r="H227" s="50">
        <v>12</v>
      </c>
      <c r="I227" s="55">
        <v>120</v>
      </c>
      <c r="J227" s="49" t="s">
        <v>36</v>
      </c>
      <c r="K227" s="49" t="s">
        <v>37</v>
      </c>
      <c r="O227" s="4"/>
    </row>
    <row r="228" spans="1:15" ht="15.75" customHeight="1">
      <c r="A228" s="49">
        <v>27</v>
      </c>
      <c r="B228" s="49" t="s">
        <v>2097</v>
      </c>
      <c r="C228" s="49" t="s">
        <v>227</v>
      </c>
      <c r="D228" s="49" t="s">
        <v>394</v>
      </c>
      <c r="E228" s="49" t="s">
        <v>232</v>
      </c>
      <c r="F228" s="49"/>
      <c r="G228" s="49" t="s">
        <v>35</v>
      </c>
      <c r="H228" s="50">
        <v>1000</v>
      </c>
      <c r="I228" s="55">
        <v>200</v>
      </c>
      <c r="J228" s="49" t="s">
        <v>36</v>
      </c>
      <c r="K228" s="49" t="s">
        <v>37</v>
      </c>
      <c r="O228" s="4"/>
    </row>
    <row r="229" spans="1:15" ht="15.75" customHeight="1">
      <c r="A229" s="49">
        <v>27</v>
      </c>
      <c r="B229" s="49" t="s">
        <v>2098</v>
      </c>
      <c r="C229" s="49" t="s">
        <v>227</v>
      </c>
      <c r="D229" s="49" t="s">
        <v>947</v>
      </c>
      <c r="E229" s="49" t="s">
        <v>164</v>
      </c>
      <c r="F229" s="49"/>
      <c r="G229" s="49" t="s">
        <v>35</v>
      </c>
      <c r="H229" s="50">
        <v>500</v>
      </c>
      <c r="I229" s="55">
        <v>100</v>
      </c>
      <c r="J229" s="49" t="s">
        <v>36</v>
      </c>
      <c r="K229" s="49" t="s">
        <v>37</v>
      </c>
      <c r="O229" s="4"/>
    </row>
    <row r="230" spans="1:15" ht="15.75" customHeight="1">
      <c r="A230" s="49">
        <v>27</v>
      </c>
      <c r="B230" s="49" t="s">
        <v>2099</v>
      </c>
      <c r="C230" s="49" t="s">
        <v>227</v>
      </c>
      <c r="D230" s="49" t="s">
        <v>517</v>
      </c>
      <c r="E230" s="49" t="s">
        <v>232</v>
      </c>
      <c r="F230" s="49"/>
      <c r="G230" s="49" t="s">
        <v>35</v>
      </c>
      <c r="H230" s="50">
        <v>500</v>
      </c>
      <c r="I230" s="55">
        <v>100</v>
      </c>
      <c r="J230" s="49" t="s">
        <v>36</v>
      </c>
      <c r="K230" s="49" t="s">
        <v>37</v>
      </c>
      <c r="O230" s="4"/>
    </row>
    <row r="231" spans="1:15" ht="15.75" customHeight="1">
      <c r="A231" s="49">
        <v>27</v>
      </c>
      <c r="B231" s="49" t="s">
        <v>633</v>
      </c>
      <c r="C231" s="49" t="s">
        <v>227</v>
      </c>
      <c r="D231" s="49" t="s">
        <v>295</v>
      </c>
      <c r="E231" s="49" t="s">
        <v>248</v>
      </c>
      <c r="F231" s="49"/>
      <c r="G231" s="49" t="s">
        <v>35</v>
      </c>
      <c r="H231" s="50">
        <v>1500</v>
      </c>
      <c r="I231" s="55">
        <v>300</v>
      </c>
      <c r="J231" s="49" t="s">
        <v>36</v>
      </c>
      <c r="K231" s="49" t="s">
        <v>37</v>
      </c>
      <c r="O231" s="4"/>
    </row>
    <row r="232" spans="1:15" ht="15.75" customHeight="1">
      <c r="A232" s="49">
        <v>27</v>
      </c>
      <c r="B232" s="49" t="s">
        <v>2100</v>
      </c>
      <c r="C232" s="49" t="s">
        <v>227</v>
      </c>
      <c r="D232" s="49" t="s">
        <v>396</v>
      </c>
      <c r="E232" s="49" t="s">
        <v>307</v>
      </c>
      <c r="F232" s="49"/>
      <c r="G232" s="49" t="s">
        <v>35</v>
      </c>
      <c r="H232" s="50">
        <v>1300</v>
      </c>
      <c r="I232" s="55">
        <v>260</v>
      </c>
      <c r="J232" s="49" t="s">
        <v>36</v>
      </c>
      <c r="K232" s="49" t="s">
        <v>37</v>
      </c>
      <c r="O232" s="4"/>
    </row>
    <row r="233" spans="1:15" ht="15.75" customHeight="1">
      <c r="A233" s="49">
        <v>27</v>
      </c>
      <c r="B233" s="49" t="s">
        <v>2101</v>
      </c>
      <c r="C233" s="49" t="s">
        <v>227</v>
      </c>
      <c r="D233" s="49" t="s">
        <v>350</v>
      </c>
      <c r="E233" s="49" t="s">
        <v>48</v>
      </c>
      <c r="F233" s="49"/>
      <c r="G233" s="49" t="s">
        <v>35</v>
      </c>
      <c r="H233" s="50">
        <v>100</v>
      </c>
      <c r="I233" s="55">
        <v>20</v>
      </c>
      <c r="J233" s="49" t="s">
        <v>36</v>
      </c>
      <c r="K233" s="49" t="s">
        <v>37</v>
      </c>
      <c r="O233" s="4"/>
    </row>
    <row r="234" spans="1:15" ht="15.75" customHeight="1">
      <c r="A234" s="49">
        <v>27</v>
      </c>
      <c r="B234" s="49" t="s">
        <v>2101</v>
      </c>
      <c r="C234" s="49" t="s">
        <v>227</v>
      </c>
      <c r="D234" s="49" t="s">
        <v>350</v>
      </c>
      <c r="E234" s="49" t="s">
        <v>48</v>
      </c>
      <c r="F234" s="49"/>
      <c r="G234" s="49" t="s">
        <v>242</v>
      </c>
      <c r="H234" s="50">
        <v>10</v>
      </c>
      <c r="I234" s="55">
        <v>30</v>
      </c>
      <c r="J234" s="49" t="s">
        <v>36</v>
      </c>
      <c r="K234" s="49" t="s">
        <v>37</v>
      </c>
      <c r="O234" s="4"/>
    </row>
    <row r="235" spans="1:15" ht="15.75" customHeight="1">
      <c r="A235" s="49">
        <v>27</v>
      </c>
      <c r="B235" s="49" t="s">
        <v>1045</v>
      </c>
      <c r="C235" s="49" t="s">
        <v>227</v>
      </c>
      <c r="D235" s="49" t="s">
        <v>231</v>
      </c>
      <c r="E235" s="49" t="s">
        <v>232</v>
      </c>
      <c r="F235" s="49"/>
      <c r="G235" s="49" t="s">
        <v>35</v>
      </c>
      <c r="H235" s="50">
        <v>3500</v>
      </c>
      <c r="I235" s="55">
        <v>700</v>
      </c>
      <c r="J235" s="49" t="s">
        <v>36</v>
      </c>
      <c r="K235" s="49" t="s">
        <v>37</v>
      </c>
      <c r="O235" s="4"/>
    </row>
    <row r="236" spans="1:15" ht="15.75" customHeight="1">
      <c r="A236" s="49">
        <v>27</v>
      </c>
      <c r="B236" s="49" t="s">
        <v>2102</v>
      </c>
      <c r="C236" s="49" t="s">
        <v>227</v>
      </c>
      <c r="D236" s="49" t="s">
        <v>2103</v>
      </c>
      <c r="E236" s="49" t="s">
        <v>1395</v>
      </c>
      <c r="F236" s="49"/>
      <c r="G236" s="49" t="s">
        <v>35</v>
      </c>
      <c r="H236" s="50">
        <v>2000</v>
      </c>
      <c r="I236" s="55"/>
      <c r="J236" s="49" t="s">
        <v>43</v>
      </c>
      <c r="K236" s="49" t="s">
        <v>37</v>
      </c>
      <c r="O236" s="4"/>
    </row>
    <row r="237" spans="1:15" ht="15.75" customHeight="1">
      <c r="A237" s="49">
        <v>27</v>
      </c>
      <c r="B237" s="49" t="s">
        <v>2104</v>
      </c>
      <c r="C237" s="49" t="s">
        <v>227</v>
      </c>
      <c r="D237" s="49" t="s">
        <v>32</v>
      </c>
      <c r="E237" s="49" t="s">
        <v>462</v>
      </c>
      <c r="F237" s="49"/>
      <c r="G237" s="49" t="s">
        <v>35</v>
      </c>
      <c r="H237" s="50">
        <v>6000</v>
      </c>
      <c r="I237" s="55">
        <v>1200</v>
      </c>
      <c r="J237" s="49" t="s">
        <v>36</v>
      </c>
      <c r="K237" s="49" t="s">
        <v>37</v>
      </c>
      <c r="O237" s="4"/>
    </row>
    <row r="238" spans="1:15" ht="15.75" customHeight="1">
      <c r="A238" s="49">
        <v>27</v>
      </c>
      <c r="B238" s="49" t="s">
        <v>2105</v>
      </c>
      <c r="C238" s="49" t="s">
        <v>227</v>
      </c>
      <c r="D238" s="49" t="s">
        <v>32</v>
      </c>
      <c r="E238" s="49" t="s">
        <v>1510</v>
      </c>
      <c r="F238" s="49"/>
      <c r="G238" s="49" t="s">
        <v>35</v>
      </c>
      <c r="H238" s="50">
        <v>20000</v>
      </c>
      <c r="I238" s="55">
        <v>4000</v>
      </c>
      <c r="J238" s="49" t="s">
        <v>36</v>
      </c>
      <c r="K238" s="49" t="s">
        <v>37</v>
      </c>
      <c r="O238" s="4"/>
    </row>
    <row r="239" spans="1:15" ht="15.75" customHeight="1">
      <c r="A239" s="49">
        <v>27</v>
      </c>
      <c r="B239" s="49" t="s">
        <v>2106</v>
      </c>
      <c r="C239" s="49" t="s">
        <v>227</v>
      </c>
      <c r="D239" s="49" t="s">
        <v>515</v>
      </c>
      <c r="E239" s="49" t="s">
        <v>164</v>
      </c>
      <c r="F239" s="49"/>
      <c r="G239" s="49" t="s">
        <v>35</v>
      </c>
      <c r="H239" s="50">
        <v>5000</v>
      </c>
      <c r="I239" s="55">
        <v>1000</v>
      </c>
      <c r="J239" s="49" t="s">
        <v>36</v>
      </c>
      <c r="K239" s="49" t="s">
        <v>37</v>
      </c>
      <c r="O239" s="4"/>
    </row>
    <row r="240" spans="1:15" ht="15.75" customHeight="1">
      <c r="A240" s="49">
        <v>27</v>
      </c>
      <c r="B240" s="49" t="s">
        <v>2107</v>
      </c>
      <c r="C240" s="49" t="s">
        <v>227</v>
      </c>
      <c r="D240" s="49" t="s">
        <v>733</v>
      </c>
      <c r="E240" s="49" t="s">
        <v>193</v>
      </c>
      <c r="F240" s="49"/>
      <c r="G240" s="49" t="s">
        <v>35</v>
      </c>
      <c r="H240" s="50">
        <v>18000</v>
      </c>
      <c r="I240" s="55">
        <v>3600</v>
      </c>
      <c r="J240" s="49" t="s">
        <v>36</v>
      </c>
      <c r="K240" s="49" t="s">
        <v>37</v>
      </c>
      <c r="O240" s="4"/>
    </row>
    <row r="241" spans="1:15" ht="15.75" customHeight="1">
      <c r="A241" s="49">
        <v>27</v>
      </c>
      <c r="B241" s="49" t="s">
        <v>2108</v>
      </c>
      <c r="C241" s="49" t="s">
        <v>227</v>
      </c>
      <c r="D241" s="49" t="s">
        <v>163</v>
      </c>
      <c r="E241" s="49" t="s">
        <v>164</v>
      </c>
      <c r="F241" s="49"/>
      <c r="G241" s="49" t="s">
        <v>35</v>
      </c>
      <c r="H241" s="50">
        <v>3000</v>
      </c>
      <c r="I241" s="55">
        <v>600</v>
      </c>
      <c r="J241" s="49" t="s">
        <v>36</v>
      </c>
      <c r="K241" s="49" t="s">
        <v>37</v>
      </c>
      <c r="O241" s="4"/>
    </row>
    <row r="242" spans="1:15" ht="15.75" customHeight="1">
      <c r="A242" s="49">
        <v>27</v>
      </c>
      <c r="B242" s="49" t="s">
        <v>2108</v>
      </c>
      <c r="C242" s="49" t="s">
        <v>227</v>
      </c>
      <c r="D242" s="49" t="s">
        <v>163</v>
      </c>
      <c r="E242" s="49" t="s">
        <v>164</v>
      </c>
      <c r="F242" s="49"/>
      <c r="G242" s="49" t="s">
        <v>120</v>
      </c>
      <c r="H242" s="50">
        <v>25</v>
      </c>
      <c r="I242" s="55">
        <v>250</v>
      </c>
      <c r="J242" s="49" t="s">
        <v>36</v>
      </c>
      <c r="K242" s="49" t="s">
        <v>37</v>
      </c>
      <c r="O242" s="4"/>
    </row>
    <row r="243" spans="1:15" ht="15.75" customHeight="1">
      <c r="A243" s="49">
        <v>28</v>
      </c>
      <c r="B243" s="49" t="s">
        <v>2109</v>
      </c>
      <c r="C243" s="49" t="s">
        <v>227</v>
      </c>
      <c r="D243" s="49" t="s">
        <v>564</v>
      </c>
      <c r="E243" s="49" t="s">
        <v>507</v>
      </c>
      <c r="F243" s="49"/>
      <c r="G243" s="49" t="s">
        <v>35</v>
      </c>
      <c r="H243" s="50">
        <v>1000</v>
      </c>
      <c r="I243" s="55">
        <v>250</v>
      </c>
      <c r="J243" s="49" t="s">
        <v>36</v>
      </c>
      <c r="K243" s="49" t="s">
        <v>37</v>
      </c>
      <c r="O243" s="4"/>
    </row>
    <row r="244" spans="1:15" ht="15.75" customHeight="1">
      <c r="A244" s="49">
        <v>28</v>
      </c>
      <c r="B244" s="49" t="s">
        <v>2109</v>
      </c>
      <c r="C244" s="49" t="s">
        <v>227</v>
      </c>
      <c r="D244" s="49" t="s">
        <v>564</v>
      </c>
      <c r="E244" s="49" t="s">
        <v>507</v>
      </c>
      <c r="F244" s="49"/>
      <c r="G244" s="49" t="s">
        <v>35</v>
      </c>
      <c r="H244" s="50">
        <v>500</v>
      </c>
      <c r="I244" s="55"/>
      <c r="J244" s="49" t="s">
        <v>43</v>
      </c>
      <c r="K244" s="49" t="s">
        <v>37</v>
      </c>
      <c r="O244" s="4"/>
    </row>
    <row r="245" spans="1:15" ht="15.75" customHeight="1">
      <c r="A245" s="49">
        <v>28</v>
      </c>
      <c r="B245" s="49" t="s">
        <v>2110</v>
      </c>
      <c r="C245" s="49" t="s">
        <v>227</v>
      </c>
      <c r="D245" s="49" t="s">
        <v>564</v>
      </c>
      <c r="E245" s="49" t="s">
        <v>507</v>
      </c>
      <c r="F245" s="49"/>
      <c r="G245" s="49" t="s">
        <v>35</v>
      </c>
      <c r="H245" s="50">
        <v>500</v>
      </c>
      <c r="I245" s="55">
        <v>100</v>
      </c>
      <c r="J245" s="49" t="s">
        <v>36</v>
      </c>
      <c r="K245" s="49" t="s">
        <v>37</v>
      </c>
      <c r="O245" s="4"/>
    </row>
    <row r="246" spans="1:15" ht="15.75" customHeight="1">
      <c r="A246" s="49">
        <v>28</v>
      </c>
      <c r="B246" s="49" t="s">
        <v>2110</v>
      </c>
      <c r="C246" s="49" t="s">
        <v>227</v>
      </c>
      <c r="D246" s="49" t="s">
        <v>564</v>
      </c>
      <c r="E246" s="49" t="s">
        <v>507</v>
      </c>
      <c r="F246" s="49"/>
      <c r="G246" s="49" t="s">
        <v>35</v>
      </c>
      <c r="H246" s="50">
        <v>500</v>
      </c>
      <c r="I246" s="55"/>
      <c r="J246" s="49" t="s">
        <v>43</v>
      </c>
      <c r="K246" s="49" t="s">
        <v>37</v>
      </c>
      <c r="O246" s="4"/>
    </row>
    <row r="247" spans="1:15" ht="15.75" customHeight="1">
      <c r="A247" s="49">
        <v>28</v>
      </c>
      <c r="B247" s="49" t="s">
        <v>2111</v>
      </c>
      <c r="C247" s="49" t="s">
        <v>227</v>
      </c>
      <c r="D247" s="49" t="s">
        <v>413</v>
      </c>
      <c r="E247" s="49" t="s">
        <v>251</v>
      </c>
      <c r="F247" s="49"/>
      <c r="G247" s="49" t="s">
        <v>242</v>
      </c>
      <c r="H247" s="50">
        <v>30</v>
      </c>
      <c r="I247" s="55">
        <v>90</v>
      </c>
      <c r="J247" s="49" t="s">
        <v>36</v>
      </c>
      <c r="K247" s="49" t="s">
        <v>37</v>
      </c>
      <c r="O247" s="4"/>
    </row>
    <row r="248" spans="1:15" ht="15.75" customHeight="1">
      <c r="A248" s="49">
        <v>28</v>
      </c>
      <c r="B248" s="49" t="s">
        <v>477</v>
      </c>
      <c r="C248" s="49" t="s">
        <v>246</v>
      </c>
      <c r="D248" s="49" t="s">
        <v>264</v>
      </c>
      <c r="E248" s="49" t="s">
        <v>184</v>
      </c>
      <c r="F248" s="49"/>
      <c r="G248" s="49" t="s">
        <v>35</v>
      </c>
      <c r="H248" s="50">
        <v>3900</v>
      </c>
      <c r="I248" s="55">
        <v>780</v>
      </c>
      <c r="J248" s="49" t="s">
        <v>36</v>
      </c>
      <c r="K248" s="49" t="s">
        <v>37</v>
      </c>
      <c r="O248" s="4"/>
    </row>
    <row r="249" spans="1:15" ht="15.75" customHeight="1">
      <c r="A249" s="49">
        <v>28</v>
      </c>
      <c r="B249" s="49" t="s">
        <v>2112</v>
      </c>
      <c r="C249" s="49" t="s">
        <v>227</v>
      </c>
      <c r="D249" s="49" t="s">
        <v>247</v>
      </c>
      <c r="E249" s="49" t="s">
        <v>307</v>
      </c>
      <c r="F249" s="49"/>
      <c r="G249" s="49" t="s">
        <v>35</v>
      </c>
      <c r="H249" s="50">
        <v>200</v>
      </c>
      <c r="I249" s="55">
        <v>60</v>
      </c>
      <c r="J249" s="49" t="s">
        <v>36</v>
      </c>
      <c r="K249" s="49" t="s">
        <v>37</v>
      </c>
      <c r="O249" s="4"/>
    </row>
    <row r="250" spans="1:15" ht="15.75" customHeight="1">
      <c r="A250" s="49">
        <v>29</v>
      </c>
      <c r="B250" s="49" t="s">
        <v>2113</v>
      </c>
      <c r="C250" s="49" t="s">
        <v>246</v>
      </c>
      <c r="D250" s="49" t="s">
        <v>32</v>
      </c>
      <c r="E250" s="49" t="s">
        <v>184</v>
      </c>
      <c r="F250" s="49"/>
      <c r="G250" s="49" t="s">
        <v>170</v>
      </c>
      <c r="H250" s="50">
        <v>500</v>
      </c>
      <c r="I250" s="55">
        <v>300</v>
      </c>
      <c r="J250" s="49" t="s">
        <v>36</v>
      </c>
      <c r="K250" s="49" t="s">
        <v>37</v>
      </c>
      <c r="O250" s="4"/>
    </row>
    <row r="251" spans="1:15" ht="15.75" customHeight="1">
      <c r="A251" s="49">
        <v>29</v>
      </c>
      <c r="B251" s="49" t="s">
        <v>2113</v>
      </c>
      <c r="C251" s="49" t="s">
        <v>246</v>
      </c>
      <c r="D251" s="49" t="s">
        <v>32</v>
      </c>
      <c r="E251" s="49" t="s">
        <v>184</v>
      </c>
      <c r="F251" s="49"/>
      <c r="G251" s="49" t="s">
        <v>120</v>
      </c>
      <c r="H251" s="50">
        <v>5</v>
      </c>
      <c r="I251" s="55">
        <v>50</v>
      </c>
      <c r="J251" s="49" t="s">
        <v>36</v>
      </c>
      <c r="K251" s="49" t="s">
        <v>37</v>
      </c>
      <c r="O251" s="4"/>
    </row>
    <row r="252" spans="1:15" ht="15.75" customHeight="1">
      <c r="A252" s="49">
        <v>29</v>
      </c>
      <c r="B252" s="49" t="s">
        <v>2114</v>
      </c>
      <c r="C252" s="49" t="s">
        <v>227</v>
      </c>
      <c r="D252" s="49" t="s">
        <v>342</v>
      </c>
      <c r="E252" s="49" t="s">
        <v>307</v>
      </c>
      <c r="F252" s="49"/>
      <c r="G252" s="49" t="s">
        <v>35</v>
      </c>
      <c r="H252" s="50">
        <v>1500</v>
      </c>
      <c r="I252" s="55">
        <v>300</v>
      </c>
      <c r="J252" s="49" t="s">
        <v>36</v>
      </c>
      <c r="K252" s="49" t="s">
        <v>37</v>
      </c>
      <c r="O252" s="4"/>
    </row>
    <row r="253" spans="1:15" ht="15.75" customHeight="1">
      <c r="A253" s="49">
        <v>29</v>
      </c>
      <c r="B253" s="49" t="s">
        <v>2115</v>
      </c>
      <c r="C253" s="49" t="s">
        <v>227</v>
      </c>
      <c r="D253" s="49" t="s">
        <v>239</v>
      </c>
      <c r="E253" s="49" t="s">
        <v>232</v>
      </c>
      <c r="F253" s="49"/>
      <c r="G253" s="49" t="s">
        <v>120</v>
      </c>
      <c r="H253" s="50">
        <v>5</v>
      </c>
      <c r="I253" s="55">
        <v>50</v>
      </c>
      <c r="J253" s="49" t="s">
        <v>36</v>
      </c>
      <c r="K253" s="49" t="s">
        <v>37</v>
      </c>
      <c r="O253" s="4"/>
    </row>
    <row r="254" spans="1:15" ht="15.75" customHeight="1">
      <c r="A254" s="49">
        <v>29</v>
      </c>
      <c r="B254" s="49" t="s">
        <v>2116</v>
      </c>
      <c r="C254" s="49" t="s">
        <v>246</v>
      </c>
      <c r="D254" s="49" t="s">
        <v>2117</v>
      </c>
      <c r="E254" s="49" t="s">
        <v>525</v>
      </c>
      <c r="F254" s="49"/>
      <c r="G254" s="49" t="s">
        <v>35</v>
      </c>
      <c r="H254" s="50">
        <v>300</v>
      </c>
      <c r="I254" s="55">
        <v>60</v>
      </c>
      <c r="J254" s="49" t="s">
        <v>36</v>
      </c>
      <c r="K254" s="49" t="s">
        <v>37</v>
      </c>
      <c r="O254" s="4"/>
    </row>
    <row r="255" spans="1:15" ht="15.75" customHeight="1">
      <c r="A255" s="49">
        <v>29</v>
      </c>
      <c r="B255" s="49" t="s">
        <v>2118</v>
      </c>
      <c r="C255" s="49" t="s">
        <v>227</v>
      </c>
      <c r="D255" s="49" t="s">
        <v>163</v>
      </c>
      <c r="E255" s="49" t="s">
        <v>164</v>
      </c>
      <c r="F255" s="49"/>
      <c r="G255" s="49" t="s">
        <v>35</v>
      </c>
      <c r="H255" s="50">
        <v>1000</v>
      </c>
      <c r="I255" s="55">
        <v>200</v>
      </c>
      <c r="J255" s="49" t="s">
        <v>36</v>
      </c>
      <c r="K255" s="49" t="s">
        <v>37</v>
      </c>
      <c r="O255" s="4"/>
    </row>
    <row r="256" spans="1:15" ht="15.75" customHeight="1">
      <c r="A256" s="49">
        <v>29</v>
      </c>
      <c r="B256" s="49" t="s">
        <v>2118</v>
      </c>
      <c r="C256" s="49" t="s">
        <v>227</v>
      </c>
      <c r="D256" s="49" t="s">
        <v>163</v>
      </c>
      <c r="E256" s="49" t="s">
        <v>164</v>
      </c>
      <c r="F256" s="49"/>
      <c r="G256" s="49" t="s">
        <v>170</v>
      </c>
      <c r="H256" s="50">
        <v>100</v>
      </c>
      <c r="I256" s="55">
        <v>60</v>
      </c>
      <c r="J256" s="49" t="s">
        <v>36</v>
      </c>
      <c r="K256" s="49" t="s">
        <v>37</v>
      </c>
      <c r="O256" s="4"/>
    </row>
    <row r="257" spans="1:15" ht="15.75" customHeight="1">
      <c r="A257" s="49">
        <v>29</v>
      </c>
      <c r="B257" s="49" t="s">
        <v>2119</v>
      </c>
      <c r="C257" s="49" t="s">
        <v>227</v>
      </c>
      <c r="D257" s="49" t="s">
        <v>740</v>
      </c>
      <c r="E257" s="49" t="s">
        <v>251</v>
      </c>
      <c r="F257" s="49"/>
      <c r="G257" s="49" t="s">
        <v>35</v>
      </c>
      <c r="H257" s="50">
        <v>300</v>
      </c>
      <c r="I257" s="55">
        <v>60</v>
      </c>
      <c r="J257" s="49" t="s">
        <v>36</v>
      </c>
      <c r="K257" s="49" t="s">
        <v>37</v>
      </c>
      <c r="O257" s="4"/>
    </row>
    <row r="258" spans="1:15" ht="15.75" customHeight="1">
      <c r="A258" s="49"/>
      <c r="B258" s="49"/>
      <c r="C258" s="49"/>
      <c r="D258" s="49"/>
      <c r="E258" s="49"/>
      <c r="F258" s="49"/>
      <c r="G258" s="49"/>
      <c r="H258" s="50"/>
      <c r="I258" s="55"/>
      <c r="J258" s="49"/>
      <c r="K258" s="49"/>
      <c r="O258" s="4"/>
    </row>
    <row r="259" spans="1:15" ht="15.75" customHeight="1">
      <c r="A259" s="49"/>
      <c r="B259" s="49"/>
      <c r="C259" s="49"/>
      <c r="D259" s="49"/>
      <c r="E259" s="49"/>
      <c r="F259" s="49"/>
      <c r="G259" s="49" t="s">
        <v>35</v>
      </c>
      <c r="H259" s="49">
        <v>500</v>
      </c>
      <c r="I259" s="55"/>
      <c r="J259" s="49" t="s">
        <v>43</v>
      </c>
      <c r="K259" s="49" t="s">
        <v>37</v>
      </c>
    </row>
    <row r="260" spans="1:15" ht="15.75" customHeight="1">
      <c r="A260" s="49">
        <v>29</v>
      </c>
      <c r="B260" s="49" t="s">
        <v>2120</v>
      </c>
      <c r="C260" s="49" t="s">
        <v>246</v>
      </c>
      <c r="D260" s="49" t="s">
        <v>452</v>
      </c>
      <c r="E260" s="49" t="s">
        <v>48</v>
      </c>
      <c r="F260" s="49"/>
      <c r="G260" s="49" t="s">
        <v>35</v>
      </c>
      <c r="H260" s="49">
        <v>100</v>
      </c>
      <c r="I260" s="55">
        <v>20</v>
      </c>
      <c r="J260" s="49" t="s">
        <v>36</v>
      </c>
      <c r="K260" s="49" t="s">
        <v>37</v>
      </c>
    </row>
    <row r="261" spans="1:15" ht="15.75" customHeight="1">
      <c r="A261" s="49">
        <v>29</v>
      </c>
      <c r="B261" s="49" t="s">
        <v>2121</v>
      </c>
      <c r="C261" s="49" t="s">
        <v>227</v>
      </c>
      <c r="D261" s="49" t="s">
        <v>819</v>
      </c>
      <c r="E261" s="49" t="s">
        <v>235</v>
      </c>
      <c r="F261" s="49"/>
      <c r="G261" s="49" t="s">
        <v>35</v>
      </c>
      <c r="H261" s="49">
        <v>200</v>
      </c>
      <c r="I261" s="55"/>
      <c r="J261" s="49" t="s">
        <v>43</v>
      </c>
      <c r="K261" s="49" t="s">
        <v>37</v>
      </c>
    </row>
    <row r="262" spans="1:15" ht="15.75" customHeight="1">
      <c r="A262" s="49">
        <v>29</v>
      </c>
      <c r="B262" s="49" t="s">
        <v>2122</v>
      </c>
      <c r="C262" s="49" t="s">
        <v>227</v>
      </c>
      <c r="D262" s="49" t="s">
        <v>2123</v>
      </c>
      <c r="E262" s="49" t="s">
        <v>235</v>
      </c>
      <c r="F262" s="49"/>
      <c r="G262" s="49" t="s">
        <v>35</v>
      </c>
      <c r="H262" s="49">
        <v>350</v>
      </c>
      <c r="I262" s="55"/>
      <c r="J262" s="49" t="s">
        <v>43</v>
      </c>
      <c r="K262" s="49" t="s">
        <v>37</v>
      </c>
    </row>
    <row r="263" spans="1:15" ht="15.75" customHeight="1">
      <c r="A263" s="49"/>
      <c r="B263" s="49"/>
      <c r="C263" s="49"/>
      <c r="D263" s="49"/>
      <c r="E263" s="49"/>
      <c r="F263" s="49"/>
      <c r="G263" s="49"/>
      <c r="H263" s="49"/>
      <c r="I263" s="55"/>
      <c r="J263" s="49"/>
      <c r="K263" s="49"/>
    </row>
    <row r="264" spans="1:15" ht="15.75" customHeight="1"/>
    <row r="265" spans="1:15" ht="15.75" customHeight="1">
      <c r="A265" s="2"/>
      <c r="B265" s="3"/>
      <c r="C265" s="3"/>
      <c r="D265" s="3"/>
      <c r="E265" s="3"/>
      <c r="F265" s="1"/>
      <c r="G265" s="3"/>
      <c r="H265" s="99"/>
      <c r="I265" s="5"/>
      <c r="J265" s="1"/>
      <c r="K265" s="3"/>
    </row>
    <row r="266" spans="1:15" ht="15.75" customHeight="1">
      <c r="A266" s="1"/>
      <c r="B266" s="1"/>
      <c r="D266" s="1"/>
      <c r="E266" s="1"/>
      <c r="G266" s="1"/>
      <c r="H266" s="4"/>
      <c r="J266" s="1"/>
    </row>
    <row r="267" spans="1:15" ht="15.75" customHeight="1">
      <c r="I267" s="60" t="s">
        <v>53</v>
      </c>
      <c r="J267" s="60"/>
    </row>
    <row r="268" spans="1:15" ht="15.75" customHeight="1">
      <c r="B268" s="61" t="s">
        <v>55</v>
      </c>
      <c r="E268" s="61" t="s">
        <v>56</v>
      </c>
      <c r="I268" s="60" t="s">
        <v>2124</v>
      </c>
      <c r="J268" s="60"/>
    </row>
    <row r="269" spans="1:15" ht="15.75" customHeight="1">
      <c r="I269" s="60" t="s">
        <v>2125</v>
      </c>
      <c r="J269" s="60"/>
    </row>
    <row r="270" spans="1:15" ht="15.75" customHeight="1">
      <c r="I270" s="60" t="s">
        <v>2126</v>
      </c>
      <c r="J270" s="60"/>
    </row>
    <row r="271" spans="1:15" ht="15.75" customHeight="1">
      <c r="B271" s="65" t="s">
        <v>109</v>
      </c>
      <c r="E271" s="65" t="s">
        <v>61</v>
      </c>
      <c r="F271" s="65"/>
      <c r="G271" s="62"/>
      <c r="I271" s="60" t="s">
        <v>2127</v>
      </c>
      <c r="J271" s="60"/>
    </row>
    <row r="272" spans="1:15" ht="15.75" customHeight="1">
      <c r="B272" s="61" t="s">
        <v>110</v>
      </c>
      <c r="E272" s="61" t="s">
        <v>124</v>
      </c>
      <c r="I272" s="60" t="s">
        <v>2128</v>
      </c>
      <c r="J272" s="60"/>
    </row>
    <row r="273" spans="9:10" ht="15.75" customHeight="1">
      <c r="I273" s="60" t="s">
        <v>2129</v>
      </c>
      <c r="J273" s="60"/>
    </row>
    <row r="274" spans="9:10" ht="15.75" customHeight="1">
      <c r="I274" s="60" t="s">
        <v>66</v>
      </c>
      <c r="J274" s="60"/>
    </row>
    <row r="275" spans="9:10" ht="15.75" customHeight="1">
      <c r="I275" s="60" t="s">
        <v>2130</v>
      </c>
      <c r="J275" s="63"/>
    </row>
    <row r="276" spans="9:10" ht="15.75" customHeight="1">
      <c r="I276" s="60" t="s">
        <v>2131</v>
      </c>
      <c r="J276" s="63"/>
    </row>
    <row r="277" spans="9:10" ht="15.75" customHeight="1"/>
    <row r="278" spans="9:10" ht="15.75" customHeight="1"/>
    <row r="279" spans="9:10" ht="15.75" customHeight="1"/>
    <row r="280" spans="9:10" ht="15.75" customHeight="1"/>
    <row r="281" spans="9:10" ht="15.75" customHeight="1"/>
    <row r="282" spans="9:10" ht="15.75" customHeight="1"/>
    <row r="283" spans="9:10" ht="15.75" customHeight="1"/>
    <row r="284" spans="9:10" ht="15.75" customHeight="1"/>
    <row r="285" spans="9:10" ht="15.75" customHeight="1"/>
    <row r="286" spans="9:10" ht="15.75" customHeight="1"/>
    <row r="287" spans="9:10" ht="15.75" customHeight="1"/>
    <row r="288" spans="9:1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A8:B8"/>
  </mergeCells>
  <pageMargins left="0.75" right="0.75" top="0.75" bottom="0.75" header="0" footer="0"/>
  <pageSetup paperSize="5" scale="9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13" width="8.7109375" customWidth="1"/>
    <col min="14" max="14" width="14.7109375" customWidth="1"/>
    <col min="15" max="15" width="10.7109375" customWidth="1"/>
    <col min="16" max="26" width="8.7109375" customWidth="1"/>
  </cols>
  <sheetData>
    <row r="1" spans="1:11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1" ht="18">
      <c r="A2" s="2"/>
      <c r="B2" s="3"/>
      <c r="C2" s="242" t="s">
        <v>2132</v>
      </c>
      <c r="D2" s="241"/>
      <c r="E2" s="241"/>
      <c r="F2" s="241"/>
      <c r="G2" s="241"/>
      <c r="H2" s="70"/>
      <c r="I2" s="71"/>
      <c r="J2" s="72"/>
      <c r="K2" s="6"/>
    </row>
    <row r="3" spans="1:11">
      <c r="A3" s="2"/>
      <c r="B3" s="3"/>
      <c r="C3" s="73"/>
      <c r="D3" s="3"/>
      <c r="E3" s="3"/>
      <c r="G3" s="73"/>
      <c r="H3" s="70"/>
      <c r="I3" s="71"/>
      <c r="J3" s="8" t="s">
        <v>2133</v>
      </c>
      <c r="K3" s="74"/>
    </row>
    <row r="4" spans="1:11">
      <c r="A4" s="2"/>
      <c r="B4" s="3"/>
      <c r="C4" s="73"/>
      <c r="D4" s="3"/>
      <c r="E4" s="3"/>
      <c r="G4" s="73"/>
      <c r="H4" s="70"/>
      <c r="I4" s="75"/>
      <c r="J4" s="69" t="s">
        <v>2134</v>
      </c>
      <c r="K4" s="76"/>
    </row>
    <row r="5" spans="1:11">
      <c r="A5" s="2"/>
      <c r="B5" s="3"/>
      <c r="C5" s="73"/>
      <c r="D5" s="3"/>
      <c r="E5" s="3"/>
      <c r="G5" s="73"/>
      <c r="H5" s="70"/>
      <c r="I5" s="75"/>
      <c r="J5" s="69" t="s">
        <v>2135</v>
      </c>
      <c r="K5" s="76"/>
    </row>
    <row r="6" spans="1:11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2136</v>
      </c>
      <c r="K6" s="78"/>
    </row>
    <row r="7" spans="1:11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1">
      <c r="B8" s="100" t="s">
        <v>221</v>
      </c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1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1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1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1">
      <c r="A12" s="49">
        <v>2</v>
      </c>
      <c r="B12" s="49" t="s">
        <v>1151</v>
      </c>
      <c r="C12" s="49" t="s">
        <v>227</v>
      </c>
      <c r="D12" s="49" t="s">
        <v>237</v>
      </c>
      <c r="E12" s="49" t="s">
        <v>184</v>
      </c>
      <c r="F12" s="49"/>
      <c r="G12" s="49" t="s">
        <v>35</v>
      </c>
      <c r="H12" s="49">
        <v>850</v>
      </c>
      <c r="I12" s="55">
        <v>425</v>
      </c>
      <c r="J12" s="49" t="s">
        <v>36</v>
      </c>
      <c r="K12" s="49" t="s">
        <v>37</v>
      </c>
    </row>
    <row r="13" spans="1:11">
      <c r="A13" s="49">
        <v>2</v>
      </c>
      <c r="B13" s="49" t="s">
        <v>1151</v>
      </c>
      <c r="C13" s="49" t="s">
        <v>227</v>
      </c>
      <c r="D13" s="49" t="s">
        <v>237</v>
      </c>
      <c r="E13" s="49" t="s">
        <v>184</v>
      </c>
      <c r="F13" s="49"/>
      <c r="G13" s="49" t="s">
        <v>120</v>
      </c>
      <c r="H13" s="49">
        <v>10</v>
      </c>
      <c r="I13" s="55">
        <v>200</v>
      </c>
      <c r="J13" s="49" t="s">
        <v>36</v>
      </c>
      <c r="K13" s="49" t="s">
        <v>37</v>
      </c>
    </row>
    <row r="14" spans="1:11">
      <c r="A14" s="49">
        <v>2</v>
      </c>
      <c r="B14" s="49" t="s">
        <v>1151</v>
      </c>
      <c r="C14" s="49" t="s">
        <v>227</v>
      </c>
      <c r="D14" s="49" t="s">
        <v>237</v>
      </c>
      <c r="E14" s="49" t="s">
        <v>184</v>
      </c>
      <c r="F14" s="49"/>
      <c r="G14" s="49" t="s">
        <v>120</v>
      </c>
      <c r="H14" s="49">
        <v>40</v>
      </c>
      <c r="I14" s="55">
        <v>400</v>
      </c>
      <c r="J14" s="49" t="s">
        <v>36</v>
      </c>
      <c r="K14" s="49" t="s">
        <v>37</v>
      </c>
    </row>
    <row r="15" spans="1:11">
      <c r="A15" s="49">
        <v>2</v>
      </c>
      <c r="B15" s="49" t="s">
        <v>2137</v>
      </c>
      <c r="C15" s="49" t="s">
        <v>227</v>
      </c>
      <c r="D15" s="49" t="s">
        <v>258</v>
      </c>
      <c r="E15" s="49" t="s">
        <v>251</v>
      </c>
      <c r="F15" s="49"/>
      <c r="G15" s="49" t="s">
        <v>35</v>
      </c>
      <c r="H15" s="49">
        <v>500</v>
      </c>
      <c r="I15" s="55">
        <v>100</v>
      </c>
      <c r="J15" s="49" t="s">
        <v>36</v>
      </c>
      <c r="K15" s="49" t="s">
        <v>37</v>
      </c>
    </row>
    <row r="16" spans="1:11">
      <c r="A16" s="49">
        <v>2</v>
      </c>
      <c r="B16" s="49" t="s">
        <v>2137</v>
      </c>
      <c r="C16" s="49" t="s">
        <v>227</v>
      </c>
      <c r="D16" s="49" t="s">
        <v>258</v>
      </c>
      <c r="E16" s="49" t="s">
        <v>251</v>
      </c>
      <c r="F16" s="49"/>
      <c r="G16" s="49" t="s">
        <v>86</v>
      </c>
      <c r="H16" s="49">
        <v>100</v>
      </c>
      <c r="I16" s="55">
        <v>60</v>
      </c>
      <c r="J16" s="49" t="s">
        <v>36</v>
      </c>
      <c r="K16" s="49" t="s">
        <v>37</v>
      </c>
    </row>
    <row r="17" spans="1:11">
      <c r="A17" s="49">
        <v>2</v>
      </c>
      <c r="B17" s="49" t="s">
        <v>2138</v>
      </c>
      <c r="C17" s="49" t="s">
        <v>227</v>
      </c>
      <c r="D17" s="49" t="s">
        <v>247</v>
      </c>
      <c r="E17" s="49" t="s">
        <v>307</v>
      </c>
      <c r="F17" s="49"/>
      <c r="G17" s="49" t="s">
        <v>35</v>
      </c>
      <c r="H17" s="49">
        <v>500</v>
      </c>
      <c r="I17" s="55">
        <v>100</v>
      </c>
      <c r="J17" s="49" t="s">
        <v>36</v>
      </c>
      <c r="K17" s="49" t="s">
        <v>37</v>
      </c>
    </row>
    <row r="18" spans="1:11">
      <c r="A18" s="49">
        <v>2</v>
      </c>
      <c r="B18" s="49" t="s">
        <v>2139</v>
      </c>
      <c r="C18" s="49" t="s">
        <v>246</v>
      </c>
      <c r="D18" s="49" t="s">
        <v>205</v>
      </c>
      <c r="E18" s="49" t="s">
        <v>199</v>
      </c>
      <c r="F18" s="49"/>
      <c r="G18" s="49" t="s">
        <v>120</v>
      </c>
      <c r="H18" s="49">
        <v>50</v>
      </c>
      <c r="I18" s="55">
        <v>500</v>
      </c>
      <c r="J18" s="49" t="s">
        <v>36</v>
      </c>
      <c r="K18" s="49" t="s">
        <v>37</v>
      </c>
    </row>
    <row r="19" spans="1:11">
      <c r="A19" s="49">
        <v>2</v>
      </c>
      <c r="B19" s="49" t="s">
        <v>2140</v>
      </c>
      <c r="C19" s="49" t="s">
        <v>227</v>
      </c>
      <c r="D19" s="49" t="s">
        <v>2141</v>
      </c>
      <c r="E19" s="49" t="s">
        <v>323</v>
      </c>
      <c r="F19" s="49"/>
      <c r="G19" s="49" t="s">
        <v>242</v>
      </c>
      <c r="H19" s="49">
        <v>40</v>
      </c>
      <c r="I19" s="55">
        <v>120</v>
      </c>
      <c r="J19" s="49" t="s">
        <v>36</v>
      </c>
      <c r="K19" s="49" t="s">
        <v>37</v>
      </c>
    </row>
    <row r="20" spans="1:11">
      <c r="A20" s="49">
        <v>2</v>
      </c>
      <c r="B20" s="49" t="s">
        <v>1810</v>
      </c>
      <c r="C20" s="49" t="s">
        <v>227</v>
      </c>
      <c r="D20" s="49" t="s">
        <v>1811</v>
      </c>
      <c r="E20" s="49" t="s">
        <v>323</v>
      </c>
      <c r="F20" s="49"/>
      <c r="G20" s="49" t="s">
        <v>120</v>
      </c>
      <c r="H20" s="49">
        <v>17</v>
      </c>
      <c r="I20" s="55">
        <v>170</v>
      </c>
      <c r="J20" s="49" t="s">
        <v>36</v>
      </c>
      <c r="K20" s="49" t="s">
        <v>37</v>
      </c>
    </row>
    <row r="21" spans="1:11" ht="15.75" customHeight="1">
      <c r="A21" s="49">
        <v>2</v>
      </c>
      <c r="B21" s="49" t="s">
        <v>1228</v>
      </c>
      <c r="C21" s="49" t="s">
        <v>227</v>
      </c>
      <c r="D21" s="49" t="s">
        <v>873</v>
      </c>
      <c r="E21" s="49" t="s">
        <v>251</v>
      </c>
      <c r="F21" s="49"/>
      <c r="G21" s="49" t="s">
        <v>120</v>
      </c>
      <c r="H21" s="49">
        <v>15</v>
      </c>
      <c r="I21" s="55">
        <v>150</v>
      </c>
      <c r="J21" s="49" t="s">
        <v>36</v>
      </c>
      <c r="K21" s="49" t="s">
        <v>37</v>
      </c>
    </row>
    <row r="22" spans="1:11" ht="15.75" customHeight="1">
      <c r="A22" s="49">
        <v>2</v>
      </c>
      <c r="B22" s="49" t="s">
        <v>2142</v>
      </c>
      <c r="C22" s="49" t="s">
        <v>246</v>
      </c>
      <c r="D22" s="49" t="s">
        <v>1232</v>
      </c>
      <c r="E22" s="49" t="s">
        <v>254</v>
      </c>
      <c r="F22" s="49"/>
      <c r="G22" s="49" t="s">
        <v>242</v>
      </c>
      <c r="H22" s="49">
        <v>10</v>
      </c>
      <c r="I22" s="55">
        <v>30</v>
      </c>
      <c r="J22" s="49" t="s">
        <v>36</v>
      </c>
      <c r="K22" s="49" t="s">
        <v>37</v>
      </c>
    </row>
    <row r="23" spans="1:11" ht="15.75" customHeight="1">
      <c r="A23" s="49">
        <v>2</v>
      </c>
      <c r="B23" s="49" t="s">
        <v>2143</v>
      </c>
      <c r="C23" s="49" t="s">
        <v>246</v>
      </c>
      <c r="D23" s="49" t="s">
        <v>1512</v>
      </c>
      <c r="E23" s="49" t="s">
        <v>321</v>
      </c>
      <c r="F23" s="49"/>
      <c r="G23" s="49" t="s">
        <v>35</v>
      </c>
      <c r="H23" s="49">
        <v>500</v>
      </c>
      <c r="I23" s="55">
        <v>100</v>
      </c>
      <c r="J23" s="49" t="s">
        <v>36</v>
      </c>
      <c r="K23" s="49" t="s">
        <v>37</v>
      </c>
    </row>
    <row r="24" spans="1:11" ht="15.75" customHeight="1">
      <c r="A24" s="49">
        <v>2</v>
      </c>
      <c r="B24" s="49" t="s">
        <v>2144</v>
      </c>
      <c r="C24" s="49" t="s">
        <v>227</v>
      </c>
      <c r="D24" s="49" t="s">
        <v>1030</v>
      </c>
      <c r="E24" s="49" t="s">
        <v>251</v>
      </c>
      <c r="F24" s="49"/>
      <c r="G24" s="49" t="s">
        <v>120</v>
      </c>
      <c r="H24" s="49">
        <v>8</v>
      </c>
      <c r="I24" s="55">
        <v>40</v>
      </c>
      <c r="J24" s="49" t="s">
        <v>36</v>
      </c>
      <c r="K24" s="49" t="s">
        <v>37</v>
      </c>
    </row>
    <row r="25" spans="1:11" ht="15.75" customHeight="1">
      <c r="A25" s="49">
        <v>2</v>
      </c>
      <c r="B25" s="49" t="s">
        <v>2145</v>
      </c>
      <c r="C25" s="49" t="s">
        <v>246</v>
      </c>
      <c r="D25" s="49" t="s">
        <v>239</v>
      </c>
      <c r="E25" s="49" t="s">
        <v>232</v>
      </c>
      <c r="F25" s="49"/>
      <c r="G25" s="49" t="s">
        <v>35</v>
      </c>
      <c r="H25" s="49">
        <v>100</v>
      </c>
      <c r="I25" s="55">
        <v>20</v>
      </c>
      <c r="J25" s="49" t="s">
        <v>36</v>
      </c>
      <c r="K25" s="49" t="s">
        <v>37</v>
      </c>
    </row>
    <row r="26" spans="1:11" ht="15.75" customHeight="1">
      <c r="A26" s="49">
        <v>2</v>
      </c>
      <c r="B26" s="49" t="s">
        <v>1957</v>
      </c>
      <c r="C26" s="49" t="s">
        <v>227</v>
      </c>
      <c r="D26" s="49" t="s">
        <v>396</v>
      </c>
      <c r="E26" s="49" t="s">
        <v>75</v>
      </c>
      <c r="F26" s="49"/>
      <c r="G26" s="49" t="s">
        <v>120</v>
      </c>
      <c r="H26" s="49">
        <v>45</v>
      </c>
      <c r="I26" s="55">
        <v>900</v>
      </c>
      <c r="J26" s="49" t="s">
        <v>36</v>
      </c>
      <c r="K26" s="49" t="s">
        <v>37</v>
      </c>
    </row>
    <row r="27" spans="1:11" ht="15.75" customHeight="1">
      <c r="A27" s="49">
        <v>2</v>
      </c>
      <c r="B27" s="49" t="s">
        <v>2146</v>
      </c>
      <c r="C27" s="49" t="s">
        <v>227</v>
      </c>
      <c r="D27" s="49" t="s">
        <v>527</v>
      </c>
      <c r="E27" s="49" t="s">
        <v>41</v>
      </c>
      <c r="F27" s="49"/>
      <c r="G27" s="49" t="s">
        <v>35</v>
      </c>
      <c r="H27" s="49">
        <v>250</v>
      </c>
      <c r="I27" s="55">
        <v>100</v>
      </c>
      <c r="J27" s="49" t="s">
        <v>36</v>
      </c>
      <c r="K27" s="49" t="s">
        <v>37</v>
      </c>
    </row>
    <row r="28" spans="1:11" ht="15.75" customHeight="1">
      <c r="A28" s="49">
        <v>2</v>
      </c>
      <c r="B28" s="49" t="s">
        <v>2147</v>
      </c>
      <c r="C28" s="49" t="s">
        <v>227</v>
      </c>
      <c r="D28" s="49" t="s">
        <v>819</v>
      </c>
      <c r="E28" s="49" t="s">
        <v>184</v>
      </c>
      <c r="F28" s="49"/>
      <c r="G28" s="49" t="s">
        <v>35</v>
      </c>
      <c r="H28" s="50">
        <v>2500</v>
      </c>
      <c r="I28" s="55">
        <v>500</v>
      </c>
      <c r="J28" s="49" t="s">
        <v>36</v>
      </c>
      <c r="K28" s="49" t="s">
        <v>37</v>
      </c>
    </row>
    <row r="29" spans="1:11" ht="15.75" customHeight="1">
      <c r="A29" s="49">
        <v>2</v>
      </c>
      <c r="B29" s="49" t="s">
        <v>2148</v>
      </c>
      <c r="C29" s="49" t="s">
        <v>227</v>
      </c>
      <c r="D29" s="49" t="s">
        <v>264</v>
      </c>
      <c r="E29" s="49" t="s">
        <v>199</v>
      </c>
      <c r="F29" s="49"/>
      <c r="G29" s="49" t="s">
        <v>35</v>
      </c>
      <c r="H29" s="50">
        <v>1500</v>
      </c>
      <c r="I29" s="55">
        <v>300</v>
      </c>
      <c r="J29" s="49" t="s">
        <v>36</v>
      </c>
      <c r="K29" s="49" t="s">
        <v>37</v>
      </c>
    </row>
    <row r="30" spans="1:11" ht="15.75" customHeight="1">
      <c r="A30" s="49">
        <v>3</v>
      </c>
      <c r="B30" s="49" t="s">
        <v>2149</v>
      </c>
      <c r="C30" s="49" t="s">
        <v>227</v>
      </c>
      <c r="D30" s="49" t="s">
        <v>907</v>
      </c>
      <c r="E30" s="49" t="s">
        <v>235</v>
      </c>
      <c r="F30" s="49"/>
      <c r="G30" s="49" t="s">
        <v>35</v>
      </c>
      <c r="H30" s="49">
        <v>500</v>
      </c>
      <c r="I30" s="55">
        <v>150</v>
      </c>
      <c r="J30" s="49" t="s">
        <v>36</v>
      </c>
      <c r="K30" s="49" t="s">
        <v>37</v>
      </c>
    </row>
    <row r="31" spans="1:11" ht="15.75" customHeight="1">
      <c r="A31" s="49">
        <v>3</v>
      </c>
      <c r="B31" s="49" t="s">
        <v>2150</v>
      </c>
      <c r="C31" s="49" t="s">
        <v>227</v>
      </c>
      <c r="D31" s="49" t="s">
        <v>1219</v>
      </c>
      <c r="E31" s="49" t="s">
        <v>235</v>
      </c>
      <c r="F31" s="49"/>
      <c r="G31" s="49" t="s">
        <v>120</v>
      </c>
      <c r="H31" s="49">
        <v>10</v>
      </c>
      <c r="I31" s="55">
        <v>100</v>
      </c>
      <c r="J31" s="49" t="s">
        <v>36</v>
      </c>
      <c r="K31" s="49" t="s">
        <v>37</v>
      </c>
    </row>
    <row r="32" spans="1:11" ht="15.75" customHeight="1">
      <c r="A32" s="49">
        <v>3</v>
      </c>
      <c r="B32" s="49" t="s">
        <v>2151</v>
      </c>
      <c r="C32" s="49" t="s">
        <v>227</v>
      </c>
      <c r="D32" s="49" t="s">
        <v>819</v>
      </c>
      <c r="E32" s="49" t="s">
        <v>235</v>
      </c>
      <c r="F32" s="49"/>
      <c r="G32" s="49" t="s">
        <v>35</v>
      </c>
      <c r="H32" s="49">
        <v>200</v>
      </c>
      <c r="I32" s="55">
        <v>40</v>
      </c>
      <c r="J32" s="49" t="s">
        <v>36</v>
      </c>
      <c r="K32" s="49" t="s">
        <v>37</v>
      </c>
    </row>
    <row r="33" spans="1:15" ht="15.75" customHeight="1">
      <c r="A33" s="49">
        <v>3</v>
      </c>
      <c r="B33" s="49" t="s">
        <v>2152</v>
      </c>
      <c r="C33" s="49" t="s">
        <v>246</v>
      </c>
      <c r="D33" s="49" t="s">
        <v>268</v>
      </c>
      <c r="E33" s="49" t="s">
        <v>248</v>
      </c>
      <c r="F33" s="49"/>
      <c r="G33" s="49" t="s">
        <v>35</v>
      </c>
      <c r="H33" s="50">
        <v>5500</v>
      </c>
      <c r="I33" s="94">
        <v>1100</v>
      </c>
      <c r="J33" s="49" t="s">
        <v>36</v>
      </c>
      <c r="K33" s="49" t="s">
        <v>37</v>
      </c>
    </row>
    <row r="34" spans="1:15" ht="15.75" customHeight="1">
      <c r="A34" s="49">
        <v>3</v>
      </c>
      <c r="B34" s="49" t="s">
        <v>2153</v>
      </c>
      <c r="C34" s="49" t="s">
        <v>227</v>
      </c>
      <c r="D34" s="49" t="s">
        <v>2154</v>
      </c>
      <c r="E34" s="49" t="s">
        <v>41</v>
      </c>
      <c r="F34" s="49"/>
      <c r="G34" s="49" t="s">
        <v>35</v>
      </c>
      <c r="H34" s="49">
        <v>300</v>
      </c>
      <c r="I34" s="55">
        <v>60</v>
      </c>
      <c r="J34" s="49" t="s">
        <v>36</v>
      </c>
      <c r="K34" s="49" t="s">
        <v>37</v>
      </c>
    </row>
    <row r="35" spans="1:15" ht="15.75" customHeight="1">
      <c r="A35" s="49">
        <v>3</v>
      </c>
      <c r="B35" s="49" t="s">
        <v>1224</v>
      </c>
      <c r="C35" s="49" t="s">
        <v>246</v>
      </c>
      <c r="D35" s="49" t="s">
        <v>295</v>
      </c>
      <c r="E35" s="49" t="s">
        <v>248</v>
      </c>
      <c r="F35" s="49"/>
      <c r="G35" s="49" t="s">
        <v>35</v>
      </c>
      <c r="H35" s="49">
        <v>800</v>
      </c>
      <c r="I35" s="55">
        <v>160</v>
      </c>
      <c r="J35" s="49" t="s">
        <v>36</v>
      </c>
      <c r="K35" s="49" t="s">
        <v>37</v>
      </c>
    </row>
    <row r="36" spans="1:15" ht="15.75" customHeight="1">
      <c r="A36" s="49">
        <v>3</v>
      </c>
      <c r="B36" s="49" t="s">
        <v>2155</v>
      </c>
      <c r="C36" s="49" t="s">
        <v>227</v>
      </c>
      <c r="D36" s="49" t="s">
        <v>2156</v>
      </c>
      <c r="E36" s="49" t="s">
        <v>2157</v>
      </c>
      <c r="F36" s="49"/>
      <c r="G36" s="49" t="s">
        <v>35</v>
      </c>
      <c r="H36" s="49">
        <v>400</v>
      </c>
      <c r="I36" s="55">
        <v>120</v>
      </c>
      <c r="J36" s="49" t="s">
        <v>36</v>
      </c>
      <c r="K36" s="49" t="s">
        <v>37</v>
      </c>
    </row>
    <row r="37" spans="1:15" ht="15.75" customHeight="1">
      <c r="A37" s="49">
        <v>3</v>
      </c>
      <c r="B37" s="49" t="s">
        <v>2158</v>
      </c>
      <c r="C37" s="49" t="s">
        <v>227</v>
      </c>
      <c r="D37" s="49" t="s">
        <v>679</v>
      </c>
      <c r="E37" s="49" t="s">
        <v>232</v>
      </c>
      <c r="F37" s="49"/>
      <c r="G37" s="49" t="s">
        <v>35</v>
      </c>
      <c r="H37" s="50">
        <v>1500</v>
      </c>
      <c r="I37" s="55">
        <v>300</v>
      </c>
      <c r="J37" s="49" t="s">
        <v>36</v>
      </c>
      <c r="K37" s="49" t="s">
        <v>37</v>
      </c>
    </row>
    <row r="38" spans="1:15" ht="15.75" customHeight="1">
      <c r="A38" s="49">
        <v>3</v>
      </c>
      <c r="B38" s="49" t="s">
        <v>2159</v>
      </c>
      <c r="C38" s="49" t="s">
        <v>227</v>
      </c>
      <c r="D38" s="49" t="s">
        <v>342</v>
      </c>
      <c r="E38" s="49" t="s">
        <v>2160</v>
      </c>
      <c r="F38" s="49"/>
      <c r="G38" s="49" t="s">
        <v>120</v>
      </c>
      <c r="H38" s="49">
        <v>30</v>
      </c>
      <c r="I38" s="55">
        <v>300</v>
      </c>
      <c r="J38" s="49" t="s">
        <v>36</v>
      </c>
      <c r="K38" s="49" t="s">
        <v>37</v>
      </c>
    </row>
    <row r="39" spans="1:15" ht="15.75" customHeight="1">
      <c r="A39" s="49">
        <v>3</v>
      </c>
      <c r="B39" s="49" t="s">
        <v>2161</v>
      </c>
      <c r="C39" s="49" t="s">
        <v>246</v>
      </c>
      <c r="D39" s="49" t="s">
        <v>736</v>
      </c>
      <c r="E39" s="49" t="s">
        <v>248</v>
      </c>
      <c r="F39" s="49"/>
      <c r="G39" s="49" t="s">
        <v>120</v>
      </c>
      <c r="H39" s="49">
        <v>15</v>
      </c>
      <c r="I39" s="55">
        <v>300</v>
      </c>
      <c r="J39" s="49" t="s">
        <v>36</v>
      </c>
      <c r="K39" s="49" t="s">
        <v>37</v>
      </c>
    </row>
    <row r="40" spans="1:15" ht="15.75" customHeight="1">
      <c r="A40" s="49">
        <v>3</v>
      </c>
      <c r="B40" s="49" t="s">
        <v>1810</v>
      </c>
      <c r="C40" s="49" t="s">
        <v>227</v>
      </c>
      <c r="D40" s="49" t="s">
        <v>1811</v>
      </c>
      <c r="E40" s="49" t="s">
        <v>323</v>
      </c>
      <c r="F40" s="49"/>
      <c r="G40" s="49" t="s">
        <v>120</v>
      </c>
      <c r="H40" s="49">
        <v>10</v>
      </c>
      <c r="I40" s="55">
        <v>200</v>
      </c>
      <c r="J40" s="49" t="s">
        <v>36</v>
      </c>
      <c r="K40" s="49" t="s">
        <v>37</v>
      </c>
    </row>
    <row r="41" spans="1:15" ht="15.75" customHeight="1">
      <c r="A41" s="49">
        <v>3</v>
      </c>
      <c r="B41" s="49" t="s">
        <v>2162</v>
      </c>
      <c r="C41" s="49" t="s">
        <v>227</v>
      </c>
      <c r="D41" s="49" t="s">
        <v>2163</v>
      </c>
      <c r="E41" s="49" t="s">
        <v>507</v>
      </c>
      <c r="F41" s="49"/>
      <c r="G41" s="49" t="s">
        <v>35</v>
      </c>
      <c r="H41" s="50">
        <v>2500</v>
      </c>
      <c r="I41" s="55">
        <v>500</v>
      </c>
      <c r="J41" s="49" t="s">
        <v>36</v>
      </c>
      <c r="K41" s="49" t="s">
        <v>37</v>
      </c>
    </row>
    <row r="42" spans="1:15" ht="15.75" customHeight="1">
      <c r="A42" s="49">
        <v>3</v>
      </c>
      <c r="B42" s="49" t="s">
        <v>2162</v>
      </c>
      <c r="C42" s="49" t="s">
        <v>227</v>
      </c>
      <c r="D42" s="49" t="s">
        <v>2163</v>
      </c>
      <c r="E42" s="49" t="s">
        <v>507</v>
      </c>
      <c r="F42" s="49"/>
      <c r="G42" s="49" t="s">
        <v>35</v>
      </c>
      <c r="H42" s="49">
        <v>500</v>
      </c>
      <c r="I42" s="55"/>
      <c r="J42" s="49" t="s">
        <v>43</v>
      </c>
      <c r="K42" s="49" t="s">
        <v>37</v>
      </c>
    </row>
    <row r="43" spans="1:15" ht="15.75" customHeight="1">
      <c r="A43" s="49">
        <v>3</v>
      </c>
      <c r="B43" s="49" t="s">
        <v>2164</v>
      </c>
      <c r="C43" s="49" t="s">
        <v>246</v>
      </c>
      <c r="D43" s="49" t="s">
        <v>330</v>
      </c>
      <c r="E43" s="49" t="s">
        <v>254</v>
      </c>
      <c r="F43" s="49"/>
      <c r="G43" s="49" t="s">
        <v>35</v>
      </c>
      <c r="H43" s="49">
        <v>850</v>
      </c>
      <c r="I43" s="55">
        <v>170</v>
      </c>
      <c r="J43" s="49" t="s">
        <v>36</v>
      </c>
      <c r="K43" s="49" t="s">
        <v>37</v>
      </c>
    </row>
    <row r="44" spans="1:15" ht="15.75" customHeight="1">
      <c r="A44" s="49">
        <v>3</v>
      </c>
      <c r="B44" s="49" t="s">
        <v>2165</v>
      </c>
      <c r="C44" s="49" t="s">
        <v>227</v>
      </c>
      <c r="D44" s="49" t="s">
        <v>736</v>
      </c>
      <c r="E44" s="49" t="s">
        <v>248</v>
      </c>
      <c r="F44" s="49"/>
      <c r="G44" s="49" t="s">
        <v>35</v>
      </c>
      <c r="H44" s="50">
        <v>4000</v>
      </c>
      <c r="I44" s="55">
        <v>800</v>
      </c>
      <c r="J44" s="49" t="s">
        <v>36</v>
      </c>
      <c r="K44" s="49" t="s">
        <v>37</v>
      </c>
    </row>
    <row r="45" spans="1:15" ht="15.75" customHeight="1">
      <c r="A45" s="49">
        <v>3</v>
      </c>
      <c r="B45" s="49" t="s">
        <v>1368</v>
      </c>
      <c r="C45" s="49" t="s">
        <v>246</v>
      </c>
      <c r="D45" s="49" t="s">
        <v>907</v>
      </c>
      <c r="E45" s="49" t="s">
        <v>235</v>
      </c>
      <c r="F45" s="49"/>
      <c r="G45" s="49" t="s">
        <v>35</v>
      </c>
      <c r="H45" s="50">
        <v>2000</v>
      </c>
      <c r="I45" s="55">
        <v>400</v>
      </c>
      <c r="J45" s="49" t="s">
        <v>36</v>
      </c>
      <c r="K45" s="49" t="s">
        <v>37</v>
      </c>
      <c r="O45" s="4"/>
    </row>
    <row r="46" spans="1:15" ht="15.75" customHeight="1">
      <c r="A46" s="49">
        <v>4</v>
      </c>
      <c r="B46" s="49" t="s">
        <v>2166</v>
      </c>
      <c r="C46" s="49" t="s">
        <v>227</v>
      </c>
      <c r="D46" s="49" t="s">
        <v>396</v>
      </c>
      <c r="E46" s="49" t="s">
        <v>254</v>
      </c>
      <c r="F46" s="49"/>
      <c r="G46" s="49" t="s">
        <v>120</v>
      </c>
      <c r="H46" s="49">
        <v>20</v>
      </c>
      <c r="I46" s="55">
        <v>200</v>
      </c>
      <c r="J46" s="49" t="s">
        <v>36</v>
      </c>
      <c r="K46" s="49" t="s">
        <v>37</v>
      </c>
    </row>
    <row r="47" spans="1:15" ht="15.75" customHeight="1">
      <c r="A47" s="49">
        <v>4</v>
      </c>
      <c r="B47" s="49" t="s">
        <v>2167</v>
      </c>
      <c r="C47" s="49" t="s">
        <v>246</v>
      </c>
      <c r="D47" s="49" t="s">
        <v>910</v>
      </c>
      <c r="E47" s="49" t="s">
        <v>248</v>
      </c>
      <c r="F47" s="49"/>
      <c r="G47" s="49" t="s">
        <v>35</v>
      </c>
      <c r="H47" s="49">
        <v>100</v>
      </c>
      <c r="I47" s="55">
        <v>30</v>
      </c>
      <c r="J47" s="49" t="s">
        <v>36</v>
      </c>
      <c r="K47" s="49" t="s">
        <v>37</v>
      </c>
    </row>
    <row r="48" spans="1:15" ht="15.75" customHeight="1">
      <c r="A48" s="49">
        <v>4</v>
      </c>
      <c r="B48" s="49" t="s">
        <v>2167</v>
      </c>
      <c r="C48" s="49" t="s">
        <v>246</v>
      </c>
      <c r="D48" s="49" t="s">
        <v>910</v>
      </c>
      <c r="E48" s="49" t="s">
        <v>248</v>
      </c>
      <c r="F48" s="49"/>
      <c r="G48" s="49" t="s">
        <v>120</v>
      </c>
      <c r="H48" s="49">
        <v>5</v>
      </c>
      <c r="I48" s="55">
        <v>100</v>
      </c>
      <c r="J48" s="49" t="s">
        <v>36</v>
      </c>
      <c r="K48" s="49" t="s">
        <v>37</v>
      </c>
    </row>
    <row r="49" spans="1:11" ht="15.75" customHeight="1">
      <c r="A49" s="49">
        <v>4</v>
      </c>
      <c r="B49" s="49" t="s">
        <v>2167</v>
      </c>
      <c r="C49" s="49" t="s">
        <v>246</v>
      </c>
      <c r="D49" s="49" t="s">
        <v>910</v>
      </c>
      <c r="E49" s="49" t="s">
        <v>248</v>
      </c>
      <c r="F49" s="49"/>
      <c r="G49" s="49" t="s">
        <v>120</v>
      </c>
      <c r="H49" s="49">
        <v>10</v>
      </c>
      <c r="I49" s="55">
        <v>100</v>
      </c>
      <c r="J49" s="49" t="s">
        <v>36</v>
      </c>
      <c r="K49" s="49" t="s">
        <v>37</v>
      </c>
    </row>
    <row r="50" spans="1:11" ht="15.75" customHeight="1">
      <c r="A50" s="49">
        <v>4</v>
      </c>
      <c r="B50" s="49" t="s">
        <v>2168</v>
      </c>
      <c r="C50" s="49" t="s">
        <v>227</v>
      </c>
      <c r="D50" s="49" t="s">
        <v>1494</v>
      </c>
      <c r="E50" s="49" t="s">
        <v>193</v>
      </c>
      <c r="F50" s="49"/>
      <c r="G50" s="49" t="s">
        <v>35</v>
      </c>
      <c r="H50" s="50">
        <v>3000</v>
      </c>
      <c r="I50" s="55">
        <v>600</v>
      </c>
      <c r="J50" s="49" t="s">
        <v>36</v>
      </c>
      <c r="K50" s="49" t="s">
        <v>37</v>
      </c>
    </row>
    <row r="51" spans="1:11" ht="15.75" customHeight="1">
      <c r="A51" s="49">
        <v>4</v>
      </c>
      <c r="B51" s="49" t="s">
        <v>2169</v>
      </c>
      <c r="C51" s="49" t="s">
        <v>227</v>
      </c>
      <c r="D51" s="49" t="s">
        <v>1481</v>
      </c>
      <c r="E51" s="49" t="s">
        <v>321</v>
      </c>
      <c r="F51" s="49"/>
      <c r="G51" s="49" t="s">
        <v>35</v>
      </c>
      <c r="H51" s="50">
        <v>3000</v>
      </c>
      <c r="I51" s="55">
        <v>600</v>
      </c>
      <c r="J51" s="49" t="s">
        <v>36</v>
      </c>
      <c r="K51" s="49" t="s">
        <v>37</v>
      </c>
    </row>
    <row r="52" spans="1:11" ht="15.75" customHeight="1">
      <c r="A52" s="49">
        <v>4</v>
      </c>
      <c r="B52" s="49" t="s">
        <v>2169</v>
      </c>
      <c r="C52" s="49" t="s">
        <v>227</v>
      </c>
      <c r="D52" s="49" t="s">
        <v>1481</v>
      </c>
      <c r="E52" s="49" t="s">
        <v>321</v>
      </c>
      <c r="F52" s="49"/>
      <c r="G52" s="49" t="s">
        <v>35</v>
      </c>
      <c r="H52" s="49">
        <v>500</v>
      </c>
      <c r="I52" s="55"/>
      <c r="J52" s="49" t="s">
        <v>43</v>
      </c>
      <c r="K52" s="49" t="s">
        <v>37</v>
      </c>
    </row>
    <row r="53" spans="1:11" ht="15.75" customHeight="1">
      <c r="A53" s="49">
        <v>4</v>
      </c>
      <c r="B53" s="49" t="s">
        <v>2170</v>
      </c>
      <c r="C53" s="49" t="s">
        <v>227</v>
      </c>
      <c r="D53" s="49" t="s">
        <v>1481</v>
      </c>
      <c r="E53" s="49" t="s">
        <v>321</v>
      </c>
      <c r="F53" s="49"/>
      <c r="G53" s="49" t="s">
        <v>35</v>
      </c>
      <c r="H53" s="50">
        <v>1000</v>
      </c>
      <c r="I53" s="55">
        <v>200</v>
      </c>
      <c r="J53" s="49" t="s">
        <v>36</v>
      </c>
      <c r="K53" s="49" t="s">
        <v>37</v>
      </c>
    </row>
    <row r="54" spans="1:11" ht="15.75" customHeight="1">
      <c r="A54" s="49">
        <v>4</v>
      </c>
      <c r="B54" s="49" t="s">
        <v>2170</v>
      </c>
      <c r="C54" s="49" t="s">
        <v>227</v>
      </c>
      <c r="D54" s="49" t="s">
        <v>1481</v>
      </c>
      <c r="E54" s="49" t="s">
        <v>321</v>
      </c>
      <c r="F54" s="49"/>
      <c r="G54" s="49" t="s">
        <v>35</v>
      </c>
      <c r="H54" s="49">
        <v>500</v>
      </c>
      <c r="I54" s="55"/>
      <c r="J54" s="49" t="s">
        <v>43</v>
      </c>
      <c r="K54" s="49" t="s">
        <v>37</v>
      </c>
    </row>
    <row r="55" spans="1:11" ht="15.75" customHeight="1">
      <c r="A55" s="49">
        <v>5</v>
      </c>
      <c r="B55" s="49" t="s">
        <v>2171</v>
      </c>
      <c r="C55" s="49" t="s">
        <v>227</v>
      </c>
      <c r="D55" s="49" t="s">
        <v>464</v>
      </c>
      <c r="E55" s="49" t="s">
        <v>251</v>
      </c>
      <c r="F55" s="49"/>
      <c r="G55" s="49" t="s">
        <v>35</v>
      </c>
      <c r="H55" s="50">
        <v>3000</v>
      </c>
      <c r="I55" s="55">
        <v>600</v>
      </c>
      <c r="J55" s="49" t="s">
        <v>36</v>
      </c>
      <c r="K55" s="49" t="s">
        <v>37</v>
      </c>
    </row>
    <row r="56" spans="1:11" ht="15.75" customHeight="1">
      <c r="A56" s="49">
        <v>5</v>
      </c>
      <c r="B56" s="49" t="s">
        <v>2172</v>
      </c>
      <c r="C56" s="49" t="s">
        <v>227</v>
      </c>
      <c r="D56" s="49" t="s">
        <v>768</v>
      </c>
      <c r="E56" s="49" t="s">
        <v>251</v>
      </c>
      <c r="F56" s="49"/>
      <c r="G56" s="49" t="s">
        <v>35</v>
      </c>
      <c r="H56" s="49">
        <v>500</v>
      </c>
      <c r="I56" s="55">
        <v>100</v>
      </c>
      <c r="J56" s="49" t="s">
        <v>36</v>
      </c>
      <c r="K56" s="49" t="s">
        <v>37</v>
      </c>
    </row>
    <row r="57" spans="1:11" ht="15.75" customHeight="1">
      <c r="A57" s="49">
        <v>5</v>
      </c>
      <c r="B57" s="49" t="s">
        <v>2172</v>
      </c>
      <c r="C57" s="49" t="s">
        <v>227</v>
      </c>
      <c r="D57" s="49" t="s">
        <v>768</v>
      </c>
      <c r="E57" s="49" t="s">
        <v>251</v>
      </c>
      <c r="F57" s="49"/>
      <c r="G57" s="49" t="s">
        <v>120</v>
      </c>
      <c r="H57" s="49">
        <v>15</v>
      </c>
      <c r="I57" s="55">
        <v>150</v>
      </c>
      <c r="J57" s="49" t="s">
        <v>36</v>
      </c>
      <c r="K57" s="49" t="s">
        <v>37</v>
      </c>
    </row>
    <row r="58" spans="1:11" ht="15.75" customHeight="1">
      <c r="A58" s="49">
        <v>5</v>
      </c>
      <c r="B58" s="49" t="s">
        <v>2173</v>
      </c>
      <c r="C58" s="49" t="s">
        <v>246</v>
      </c>
      <c r="D58" s="49" t="s">
        <v>321</v>
      </c>
      <c r="E58" s="49" t="s">
        <v>241</v>
      </c>
      <c r="F58" s="49"/>
      <c r="G58" s="49" t="s">
        <v>35</v>
      </c>
      <c r="H58" s="49">
        <v>500</v>
      </c>
      <c r="I58" s="55">
        <v>100</v>
      </c>
      <c r="J58" s="49" t="s">
        <v>36</v>
      </c>
      <c r="K58" s="49" t="s">
        <v>37</v>
      </c>
    </row>
    <row r="59" spans="1:11" ht="15.75" customHeight="1">
      <c r="A59" s="49">
        <v>5</v>
      </c>
      <c r="B59" s="49" t="s">
        <v>2174</v>
      </c>
      <c r="C59" s="49" t="s">
        <v>246</v>
      </c>
      <c r="D59" s="49" t="s">
        <v>2175</v>
      </c>
      <c r="E59" s="49" t="s">
        <v>193</v>
      </c>
      <c r="F59" s="49"/>
      <c r="G59" s="49" t="s">
        <v>35</v>
      </c>
      <c r="H59" s="50">
        <v>1000</v>
      </c>
      <c r="I59" s="55">
        <v>200</v>
      </c>
      <c r="J59" s="49" t="s">
        <v>36</v>
      </c>
      <c r="K59" s="49" t="s">
        <v>37</v>
      </c>
    </row>
    <row r="60" spans="1:11" ht="15.75" customHeight="1">
      <c r="A60" s="49">
        <v>5</v>
      </c>
      <c r="B60" s="49" t="s">
        <v>857</v>
      </c>
      <c r="C60" s="49" t="s">
        <v>246</v>
      </c>
      <c r="D60" s="49" t="s">
        <v>858</v>
      </c>
      <c r="E60" s="49" t="s">
        <v>232</v>
      </c>
      <c r="F60" s="49"/>
      <c r="G60" s="49" t="s">
        <v>35</v>
      </c>
      <c r="H60" s="50">
        <v>3000</v>
      </c>
      <c r="I60" s="55">
        <v>600</v>
      </c>
      <c r="J60" s="49" t="s">
        <v>36</v>
      </c>
      <c r="K60" s="49" t="s">
        <v>37</v>
      </c>
    </row>
    <row r="61" spans="1:11" ht="15.75" customHeight="1">
      <c r="A61" s="49">
        <v>5</v>
      </c>
      <c r="B61" s="49" t="s">
        <v>2176</v>
      </c>
      <c r="C61" s="49" t="s">
        <v>227</v>
      </c>
      <c r="D61" s="49" t="s">
        <v>163</v>
      </c>
      <c r="E61" s="49" t="s">
        <v>164</v>
      </c>
      <c r="F61" s="49"/>
      <c r="G61" s="49" t="s">
        <v>35</v>
      </c>
      <c r="H61" s="50">
        <v>3000</v>
      </c>
      <c r="I61" s="55">
        <v>600</v>
      </c>
      <c r="J61" s="49" t="s">
        <v>36</v>
      </c>
      <c r="K61" s="49" t="s">
        <v>37</v>
      </c>
    </row>
    <row r="62" spans="1:11" ht="15.75" customHeight="1">
      <c r="A62" s="49">
        <v>5</v>
      </c>
      <c r="B62" s="49" t="s">
        <v>2177</v>
      </c>
      <c r="C62" s="49" t="s">
        <v>227</v>
      </c>
      <c r="D62" s="49" t="s">
        <v>2178</v>
      </c>
      <c r="E62" s="49" t="s">
        <v>248</v>
      </c>
      <c r="F62" s="49"/>
      <c r="G62" s="49" t="s">
        <v>120</v>
      </c>
      <c r="H62" s="49">
        <v>15</v>
      </c>
      <c r="I62" s="55">
        <v>150</v>
      </c>
      <c r="J62" s="49" t="s">
        <v>36</v>
      </c>
      <c r="K62" s="49" t="s">
        <v>37</v>
      </c>
    </row>
    <row r="63" spans="1:11" ht="15.75" customHeight="1">
      <c r="A63" s="49">
        <v>5</v>
      </c>
      <c r="B63" s="49" t="s">
        <v>2177</v>
      </c>
      <c r="C63" s="49" t="s">
        <v>227</v>
      </c>
      <c r="D63" s="49" t="s">
        <v>2178</v>
      </c>
      <c r="E63" s="49" t="s">
        <v>248</v>
      </c>
      <c r="F63" s="49"/>
      <c r="G63" s="49" t="s">
        <v>120</v>
      </c>
      <c r="H63" s="49">
        <v>1</v>
      </c>
      <c r="I63" s="55">
        <v>20</v>
      </c>
      <c r="J63" s="49" t="s">
        <v>36</v>
      </c>
      <c r="K63" s="49" t="s">
        <v>37</v>
      </c>
    </row>
    <row r="64" spans="1:11" ht="15.75" customHeight="1">
      <c r="A64" s="49">
        <v>5</v>
      </c>
      <c r="B64" s="49" t="s">
        <v>2179</v>
      </c>
      <c r="C64" s="49" t="s">
        <v>227</v>
      </c>
      <c r="D64" s="49" t="s">
        <v>2178</v>
      </c>
      <c r="E64" s="49" t="s">
        <v>248</v>
      </c>
      <c r="F64" s="49"/>
      <c r="G64" s="49" t="s">
        <v>120</v>
      </c>
      <c r="H64" s="49">
        <v>10</v>
      </c>
      <c r="I64" s="55">
        <v>100</v>
      </c>
      <c r="J64" s="49" t="s">
        <v>36</v>
      </c>
      <c r="K64" s="49" t="s">
        <v>37</v>
      </c>
    </row>
    <row r="65" spans="1:17" ht="15.75" customHeight="1">
      <c r="A65" s="49">
        <v>5</v>
      </c>
      <c r="B65" s="49" t="s">
        <v>2179</v>
      </c>
      <c r="C65" s="49" t="s">
        <v>227</v>
      </c>
      <c r="D65" s="49" t="s">
        <v>2178</v>
      </c>
      <c r="E65" s="49" t="s">
        <v>248</v>
      </c>
      <c r="F65" s="49"/>
      <c r="G65" s="49" t="s">
        <v>120</v>
      </c>
      <c r="H65" s="49">
        <v>5</v>
      </c>
      <c r="I65" s="55">
        <v>100</v>
      </c>
      <c r="J65" s="49" t="s">
        <v>36</v>
      </c>
      <c r="K65" s="49" t="s">
        <v>37</v>
      </c>
    </row>
    <row r="66" spans="1:17" ht="15.75" customHeight="1">
      <c r="A66" s="49">
        <v>5</v>
      </c>
      <c r="B66" s="49" t="s">
        <v>2180</v>
      </c>
      <c r="C66" s="49" t="s">
        <v>227</v>
      </c>
      <c r="D66" s="49" t="s">
        <v>33</v>
      </c>
      <c r="E66" s="49" t="s">
        <v>199</v>
      </c>
      <c r="F66" s="49"/>
      <c r="G66" s="49" t="s">
        <v>35</v>
      </c>
      <c r="H66" s="49">
        <v>150</v>
      </c>
      <c r="I66" s="55">
        <v>45</v>
      </c>
      <c r="J66" s="49" t="s">
        <v>36</v>
      </c>
      <c r="K66" s="49" t="s">
        <v>37</v>
      </c>
    </row>
    <row r="67" spans="1:17" ht="15.75" customHeight="1">
      <c r="A67" s="49">
        <v>5</v>
      </c>
      <c r="B67" s="49" t="s">
        <v>2180</v>
      </c>
      <c r="C67" s="49" t="s">
        <v>227</v>
      </c>
      <c r="D67" s="49" t="s">
        <v>33</v>
      </c>
      <c r="E67" s="49" t="s">
        <v>199</v>
      </c>
      <c r="F67" s="49"/>
      <c r="G67" s="49" t="s">
        <v>120</v>
      </c>
      <c r="H67" s="49">
        <v>200</v>
      </c>
      <c r="I67" s="55">
        <v>2000</v>
      </c>
      <c r="J67" s="49" t="s">
        <v>36</v>
      </c>
      <c r="K67" s="49" t="s">
        <v>37</v>
      </c>
    </row>
    <row r="68" spans="1:17" ht="15.75" customHeight="1">
      <c r="A68" s="49">
        <v>5</v>
      </c>
      <c r="B68" s="49" t="s">
        <v>2180</v>
      </c>
      <c r="C68" s="49" t="s">
        <v>227</v>
      </c>
      <c r="D68" s="49" t="s">
        <v>33</v>
      </c>
      <c r="E68" s="49" t="s">
        <v>199</v>
      </c>
      <c r="F68" s="49"/>
      <c r="G68" s="49" t="s">
        <v>120</v>
      </c>
      <c r="H68" s="49">
        <v>15</v>
      </c>
      <c r="I68" s="55">
        <v>300</v>
      </c>
      <c r="J68" s="49" t="s">
        <v>36</v>
      </c>
      <c r="K68" s="49" t="s">
        <v>37</v>
      </c>
    </row>
    <row r="69" spans="1:17" ht="15.75" customHeight="1">
      <c r="A69" s="49">
        <v>5</v>
      </c>
      <c r="B69" s="49" t="s">
        <v>2181</v>
      </c>
      <c r="C69" s="49" t="s">
        <v>227</v>
      </c>
      <c r="D69" s="49" t="s">
        <v>511</v>
      </c>
      <c r="E69" s="49" t="s">
        <v>321</v>
      </c>
      <c r="F69" s="49"/>
      <c r="G69" s="49" t="s">
        <v>35</v>
      </c>
      <c r="H69" s="50">
        <v>1000</v>
      </c>
      <c r="I69" s="55">
        <v>200</v>
      </c>
      <c r="J69" s="49" t="s">
        <v>36</v>
      </c>
      <c r="K69" s="49" t="s">
        <v>37</v>
      </c>
    </row>
    <row r="70" spans="1:17" ht="15.75" customHeight="1">
      <c r="A70" s="49">
        <v>5</v>
      </c>
      <c r="B70" s="49" t="s">
        <v>2182</v>
      </c>
      <c r="C70" s="49" t="s">
        <v>227</v>
      </c>
      <c r="D70" s="49" t="s">
        <v>649</v>
      </c>
      <c r="E70" s="49" t="s">
        <v>232</v>
      </c>
      <c r="F70" s="49"/>
      <c r="G70" s="49" t="s">
        <v>35</v>
      </c>
      <c r="H70" s="50">
        <v>1000</v>
      </c>
      <c r="I70" s="55">
        <v>200</v>
      </c>
      <c r="J70" s="49" t="s">
        <v>36</v>
      </c>
      <c r="K70" s="49" t="s">
        <v>37</v>
      </c>
    </row>
    <row r="71" spans="1:17" ht="15.75" customHeight="1">
      <c r="A71" s="49">
        <v>9</v>
      </c>
      <c r="B71" s="49" t="s">
        <v>660</v>
      </c>
      <c r="C71" s="49" t="s">
        <v>227</v>
      </c>
      <c r="D71" s="49" t="s">
        <v>619</v>
      </c>
      <c r="E71" s="49" t="s">
        <v>193</v>
      </c>
      <c r="F71" s="49"/>
      <c r="G71" s="49" t="s">
        <v>35</v>
      </c>
      <c r="H71" s="50">
        <v>10000</v>
      </c>
      <c r="I71" s="55">
        <v>2000</v>
      </c>
      <c r="J71" s="49" t="s">
        <v>36</v>
      </c>
      <c r="K71" s="49" t="s">
        <v>37</v>
      </c>
      <c r="Q71" s="4"/>
    </row>
    <row r="72" spans="1:17" ht="15.75" customHeight="1">
      <c r="A72" s="49">
        <v>9</v>
      </c>
      <c r="B72" s="49" t="s">
        <v>2183</v>
      </c>
      <c r="C72" s="49" t="s">
        <v>246</v>
      </c>
      <c r="D72" s="49" t="s">
        <v>607</v>
      </c>
      <c r="E72" s="49" t="s">
        <v>235</v>
      </c>
      <c r="F72" s="49"/>
      <c r="G72" s="49" t="s">
        <v>120</v>
      </c>
      <c r="H72" s="49">
        <v>20</v>
      </c>
      <c r="I72" s="55">
        <v>200</v>
      </c>
      <c r="J72" s="49" t="s">
        <v>36</v>
      </c>
      <c r="K72" s="49" t="s">
        <v>37</v>
      </c>
    </row>
    <row r="73" spans="1:17" ht="15.75" customHeight="1">
      <c r="A73" s="49">
        <v>9</v>
      </c>
      <c r="B73" s="49" t="s">
        <v>2184</v>
      </c>
      <c r="C73" s="49" t="s">
        <v>227</v>
      </c>
      <c r="D73" s="49" t="s">
        <v>32</v>
      </c>
      <c r="E73" s="49" t="s">
        <v>51</v>
      </c>
      <c r="F73" s="49"/>
      <c r="G73" s="49" t="s">
        <v>35</v>
      </c>
      <c r="H73" s="49">
        <v>550</v>
      </c>
      <c r="I73" s="55">
        <v>110</v>
      </c>
      <c r="J73" s="49" t="s">
        <v>36</v>
      </c>
      <c r="K73" s="49" t="s">
        <v>37</v>
      </c>
    </row>
    <row r="74" spans="1:17" ht="15.75" customHeight="1">
      <c r="A74" s="49">
        <v>9</v>
      </c>
      <c r="B74" s="49" t="s">
        <v>2185</v>
      </c>
      <c r="C74" s="49" t="s">
        <v>227</v>
      </c>
      <c r="D74" s="49" t="s">
        <v>234</v>
      </c>
      <c r="E74" s="49" t="s">
        <v>235</v>
      </c>
      <c r="F74" s="49"/>
      <c r="G74" s="49" t="s">
        <v>120</v>
      </c>
      <c r="H74" s="49">
        <v>10</v>
      </c>
      <c r="I74" s="55">
        <v>200</v>
      </c>
      <c r="J74" s="49" t="s">
        <v>36</v>
      </c>
      <c r="K74" s="49" t="s">
        <v>37</v>
      </c>
    </row>
    <row r="75" spans="1:17" ht="15.75" customHeight="1">
      <c r="A75" s="49">
        <v>9</v>
      </c>
      <c r="B75" s="49" t="s">
        <v>2185</v>
      </c>
      <c r="C75" s="49" t="s">
        <v>227</v>
      </c>
      <c r="D75" s="49" t="s">
        <v>234</v>
      </c>
      <c r="E75" s="49" t="s">
        <v>235</v>
      </c>
      <c r="F75" s="49"/>
      <c r="G75" s="49" t="s">
        <v>120</v>
      </c>
      <c r="H75" s="49">
        <v>20</v>
      </c>
      <c r="I75" s="55">
        <v>200</v>
      </c>
      <c r="J75" s="49" t="s">
        <v>36</v>
      </c>
      <c r="K75" s="49" t="s">
        <v>37</v>
      </c>
    </row>
    <row r="76" spans="1:17" ht="15.75" customHeight="1">
      <c r="A76" s="49">
        <v>9</v>
      </c>
      <c r="B76" s="49" t="s">
        <v>2185</v>
      </c>
      <c r="C76" s="49" t="s">
        <v>227</v>
      </c>
      <c r="D76" s="49" t="s">
        <v>234</v>
      </c>
      <c r="E76" s="49" t="s">
        <v>235</v>
      </c>
      <c r="F76" s="49"/>
      <c r="G76" s="49" t="s">
        <v>242</v>
      </c>
      <c r="H76" s="49">
        <v>5</v>
      </c>
      <c r="I76" s="55">
        <v>15</v>
      </c>
      <c r="J76" s="49" t="s">
        <v>36</v>
      </c>
      <c r="K76" s="49" t="s">
        <v>37</v>
      </c>
    </row>
    <row r="77" spans="1:17" ht="15.75" customHeight="1">
      <c r="A77" s="49">
        <v>9</v>
      </c>
      <c r="B77" s="49" t="s">
        <v>2186</v>
      </c>
      <c r="C77" s="49" t="s">
        <v>227</v>
      </c>
      <c r="D77" s="49" t="s">
        <v>2187</v>
      </c>
      <c r="E77" s="49" t="s">
        <v>2157</v>
      </c>
      <c r="F77" s="49"/>
      <c r="G77" s="49" t="s">
        <v>35</v>
      </c>
      <c r="H77" s="50">
        <v>4000</v>
      </c>
      <c r="I77" s="55">
        <v>800</v>
      </c>
      <c r="J77" s="49" t="s">
        <v>36</v>
      </c>
      <c r="K77" s="49" t="s">
        <v>37</v>
      </c>
    </row>
    <row r="78" spans="1:17" ht="15.75" customHeight="1">
      <c r="A78" s="49">
        <v>9</v>
      </c>
      <c r="B78" s="49" t="s">
        <v>1887</v>
      </c>
      <c r="C78" s="49" t="s">
        <v>227</v>
      </c>
      <c r="D78" s="49" t="s">
        <v>250</v>
      </c>
      <c r="E78" s="49" t="s">
        <v>251</v>
      </c>
      <c r="F78" s="49"/>
      <c r="G78" s="49" t="s">
        <v>120</v>
      </c>
      <c r="H78" s="49">
        <v>6</v>
      </c>
      <c r="I78" s="55">
        <v>120</v>
      </c>
      <c r="J78" s="49" t="s">
        <v>36</v>
      </c>
      <c r="K78" s="49" t="s">
        <v>37</v>
      </c>
    </row>
    <row r="79" spans="1:17" ht="15.75" customHeight="1">
      <c r="A79" s="49">
        <v>9</v>
      </c>
      <c r="B79" s="49" t="s">
        <v>1887</v>
      </c>
      <c r="C79" s="49" t="s">
        <v>227</v>
      </c>
      <c r="D79" s="49" t="s">
        <v>250</v>
      </c>
      <c r="E79" s="49" t="s">
        <v>251</v>
      </c>
      <c r="F79" s="49"/>
      <c r="G79" s="49" t="s">
        <v>120</v>
      </c>
      <c r="H79" s="49">
        <v>15</v>
      </c>
      <c r="I79" s="55">
        <v>150</v>
      </c>
      <c r="J79" s="49" t="s">
        <v>36</v>
      </c>
      <c r="K79" s="49" t="s">
        <v>37</v>
      </c>
    </row>
    <row r="80" spans="1:17" ht="15.75" customHeight="1">
      <c r="A80" s="49">
        <v>9</v>
      </c>
      <c r="B80" s="49" t="s">
        <v>2188</v>
      </c>
      <c r="C80" s="49" t="s">
        <v>246</v>
      </c>
      <c r="D80" s="49" t="s">
        <v>2189</v>
      </c>
      <c r="E80" s="49" t="s">
        <v>199</v>
      </c>
      <c r="F80" s="49"/>
      <c r="G80" s="49" t="s">
        <v>35</v>
      </c>
      <c r="H80" s="49">
        <v>700</v>
      </c>
      <c r="I80" s="55">
        <v>210</v>
      </c>
      <c r="J80" s="49" t="s">
        <v>36</v>
      </c>
      <c r="K80" s="49" t="s">
        <v>37</v>
      </c>
    </row>
    <row r="81" spans="1:15" ht="15.75" customHeight="1">
      <c r="A81" s="49">
        <v>9</v>
      </c>
      <c r="B81" s="49" t="s">
        <v>2188</v>
      </c>
      <c r="C81" s="49" t="s">
        <v>246</v>
      </c>
      <c r="D81" s="49" t="s">
        <v>2189</v>
      </c>
      <c r="E81" s="49" t="s">
        <v>199</v>
      </c>
      <c r="F81" s="49"/>
      <c r="G81" s="49" t="s">
        <v>120</v>
      </c>
      <c r="H81" s="49">
        <v>15</v>
      </c>
      <c r="I81" s="55">
        <v>300</v>
      </c>
      <c r="J81" s="49" t="s">
        <v>36</v>
      </c>
      <c r="K81" s="49" t="s">
        <v>37</v>
      </c>
    </row>
    <row r="82" spans="1:15" ht="15.75" customHeight="1">
      <c r="A82" s="49">
        <v>9</v>
      </c>
      <c r="B82" s="49" t="s">
        <v>2190</v>
      </c>
      <c r="C82" s="49" t="s">
        <v>227</v>
      </c>
      <c r="D82" s="49" t="s">
        <v>1549</v>
      </c>
      <c r="E82" s="49" t="s">
        <v>600</v>
      </c>
      <c r="F82" s="49"/>
      <c r="G82" s="49" t="s">
        <v>120</v>
      </c>
      <c r="H82" s="50">
        <v>1000</v>
      </c>
      <c r="I82" s="94">
        <v>10000</v>
      </c>
      <c r="J82" s="49" t="s">
        <v>36</v>
      </c>
      <c r="K82" s="49" t="s">
        <v>37</v>
      </c>
    </row>
    <row r="83" spans="1:15" ht="15.75" customHeight="1">
      <c r="A83" s="49">
        <v>9</v>
      </c>
      <c r="B83" s="49" t="s">
        <v>2191</v>
      </c>
      <c r="C83" s="49" t="s">
        <v>227</v>
      </c>
      <c r="D83" s="49" t="s">
        <v>1245</v>
      </c>
      <c r="E83" s="49" t="s">
        <v>323</v>
      </c>
      <c r="F83" s="49"/>
      <c r="G83" s="49" t="s">
        <v>35</v>
      </c>
      <c r="H83" s="50">
        <v>1850</v>
      </c>
      <c r="I83" s="55">
        <v>370</v>
      </c>
      <c r="J83" s="49" t="s">
        <v>36</v>
      </c>
      <c r="K83" s="49" t="s">
        <v>37</v>
      </c>
    </row>
    <row r="84" spans="1:15" ht="15.75" customHeight="1">
      <c r="A84" s="49">
        <v>9</v>
      </c>
      <c r="B84" s="49" t="s">
        <v>2192</v>
      </c>
      <c r="C84" s="49" t="s">
        <v>227</v>
      </c>
      <c r="D84" s="49" t="s">
        <v>2193</v>
      </c>
      <c r="E84" s="49" t="s">
        <v>80</v>
      </c>
      <c r="F84" s="49"/>
      <c r="G84" s="49" t="s">
        <v>35</v>
      </c>
      <c r="H84" s="50">
        <v>2000</v>
      </c>
      <c r="I84" s="55">
        <v>400</v>
      </c>
      <c r="J84" s="49" t="s">
        <v>36</v>
      </c>
      <c r="K84" s="49" t="s">
        <v>37</v>
      </c>
      <c r="O84" s="4"/>
    </row>
    <row r="85" spans="1:15" ht="15.75" customHeight="1">
      <c r="A85" s="49">
        <v>9</v>
      </c>
      <c r="B85" s="49" t="s">
        <v>2194</v>
      </c>
      <c r="C85" s="49" t="s">
        <v>227</v>
      </c>
      <c r="D85" s="49" t="s">
        <v>607</v>
      </c>
      <c r="E85" s="49" t="s">
        <v>235</v>
      </c>
      <c r="F85" s="49"/>
      <c r="G85" s="49" t="s">
        <v>35</v>
      </c>
      <c r="H85" s="49">
        <v>800</v>
      </c>
      <c r="I85" s="55">
        <v>160</v>
      </c>
      <c r="J85" s="49" t="s">
        <v>36</v>
      </c>
      <c r="K85" s="49" t="s">
        <v>37</v>
      </c>
    </row>
    <row r="86" spans="1:15" ht="15.75" customHeight="1">
      <c r="A86" s="49">
        <v>9</v>
      </c>
      <c r="B86" s="49" t="s">
        <v>2195</v>
      </c>
      <c r="C86" s="49" t="s">
        <v>227</v>
      </c>
      <c r="D86" s="49" t="s">
        <v>499</v>
      </c>
      <c r="E86" s="49" t="s">
        <v>323</v>
      </c>
      <c r="F86" s="49"/>
      <c r="G86" s="49" t="s">
        <v>35</v>
      </c>
      <c r="H86" s="50">
        <v>1500</v>
      </c>
      <c r="I86" s="55">
        <v>300</v>
      </c>
      <c r="J86" s="49" t="s">
        <v>36</v>
      </c>
      <c r="K86" s="49" t="s">
        <v>37</v>
      </c>
    </row>
    <row r="87" spans="1:15" ht="15.75" customHeight="1">
      <c r="A87" s="49">
        <v>9</v>
      </c>
      <c r="B87" s="49" t="s">
        <v>2196</v>
      </c>
      <c r="C87" s="49" t="s">
        <v>227</v>
      </c>
      <c r="D87" s="49" t="s">
        <v>2197</v>
      </c>
      <c r="E87" s="49" t="s">
        <v>307</v>
      </c>
      <c r="F87" s="49"/>
      <c r="G87" s="49" t="s">
        <v>35</v>
      </c>
      <c r="H87" s="50">
        <v>4000</v>
      </c>
      <c r="I87" s="55">
        <v>800</v>
      </c>
      <c r="J87" s="49" t="s">
        <v>36</v>
      </c>
      <c r="K87" s="49" t="s">
        <v>37</v>
      </c>
    </row>
    <row r="88" spans="1:15" ht="15.75" customHeight="1">
      <c r="A88" s="49">
        <v>9</v>
      </c>
      <c r="B88" s="49" t="s">
        <v>2198</v>
      </c>
      <c r="C88" s="49" t="s">
        <v>227</v>
      </c>
      <c r="D88" s="49" t="s">
        <v>326</v>
      </c>
      <c r="E88" s="49" t="s">
        <v>307</v>
      </c>
      <c r="F88" s="49"/>
      <c r="G88" s="49" t="s">
        <v>35</v>
      </c>
      <c r="H88" s="49">
        <v>500</v>
      </c>
      <c r="I88" s="55">
        <v>100</v>
      </c>
      <c r="J88" s="49" t="s">
        <v>36</v>
      </c>
      <c r="K88" s="49" t="s">
        <v>37</v>
      </c>
    </row>
    <row r="89" spans="1:15" ht="15.75" customHeight="1">
      <c r="A89" s="49">
        <v>9</v>
      </c>
      <c r="B89" s="49" t="s">
        <v>2199</v>
      </c>
      <c r="C89" s="49" t="s">
        <v>227</v>
      </c>
      <c r="D89" s="49" t="s">
        <v>2123</v>
      </c>
      <c r="E89" s="49" t="s">
        <v>235</v>
      </c>
      <c r="F89" s="49"/>
      <c r="G89" s="49" t="s">
        <v>35</v>
      </c>
      <c r="H89" s="49">
        <v>200</v>
      </c>
      <c r="I89" s="55">
        <v>60</v>
      </c>
      <c r="J89" s="49" t="s">
        <v>36</v>
      </c>
      <c r="K89" s="49" t="s">
        <v>37</v>
      </c>
    </row>
    <row r="90" spans="1:15" ht="15.75" customHeight="1">
      <c r="A90" s="49">
        <v>9</v>
      </c>
      <c r="B90" s="49" t="s">
        <v>2200</v>
      </c>
      <c r="C90" s="49" t="s">
        <v>246</v>
      </c>
      <c r="D90" s="49" t="s">
        <v>926</v>
      </c>
      <c r="E90" s="49" t="s">
        <v>232</v>
      </c>
      <c r="F90" s="49"/>
      <c r="G90" s="49" t="s">
        <v>120</v>
      </c>
      <c r="H90" s="49">
        <v>20</v>
      </c>
      <c r="I90" s="55">
        <v>200</v>
      </c>
      <c r="J90" s="49" t="s">
        <v>36</v>
      </c>
      <c r="K90" s="49" t="s">
        <v>37</v>
      </c>
    </row>
    <row r="91" spans="1:15" ht="15.75" customHeight="1">
      <c r="A91" s="49">
        <v>9</v>
      </c>
      <c r="B91" s="49" t="s">
        <v>2200</v>
      </c>
      <c r="C91" s="49" t="s">
        <v>246</v>
      </c>
      <c r="D91" s="49" t="s">
        <v>926</v>
      </c>
      <c r="E91" s="49" t="s">
        <v>232</v>
      </c>
      <c r="F91" s="49"/>
      <c r="G91" s="49" t="s">
        <v>120</v>
      </c>
      <c r="H91" s="49">
        <v>3</v>
      </c>
      <c r="I91" s="55">
        <v>60</v>
      </c>
      <c r="J91" s="49" t="s">
        <v>36</v>
      </c>
      <c r="K91" s="49" t="s">
        <v>37</v>
      </c>
    </row>
    <row r="92" spans="1:15" ht="15.75" customHeight="1">
      <c r="A92" s="49">
        <v>9</v>
      </c>
      <c r="B92" s="49" t="s">
        <v>2201</v>
      </c>
      <c r="C92" s="49" t="s">
        <v>246</v>
      </c>
      <c r="D92" s="49" t="s">
        <v>365</v>
      </c>
      <c r="E92" s="49" t="s">
        <v>232</v>
      </c>
      <c r="F92" s="49"/>
      <c r="G92" s="49" t="s">
        <v>35</v>
      </c>
      <c r="H92" s="49">
        <v>500</v>
      </c>
      <c r="I92" s="55">
        <v>100</v>
      </c>
      <c r="J92" s="49" t="s">
        <v>36</v>
      </c>
      <c r="K92" s="49" t="s">
        <v>37</v>
      </c>
    </row>
    <row r="93" spans="1:15" ht="15.75" customHeight="1">
      <c r="A93" s="49">
        <v>9</v>
      </c>
      <c r="B93" s="49" t="s">
        <v>2201</v>
      </c>
      <c r="C93" s="49" t="s">
        <v>246</v>
      </c>
      <c r="D93" s="49" t="s">
        <v>365</v>
      </c>
      <c r="E93" s="49" t="s">
        <v>232</v>
      </c>
      <c r="F93" s="49"/>
      <c r="G93" s="49" t="s">
        <v>35</v>
      </c>
      <c r="H93" s="49">
        <v>500</v>
      </c>
      <c r="I93" s="55"/>
      <c r="J93" s="49" t="s">
        <v>43</v>
      </c>
      <c r="K93" s="49" t="s">
        <v>37</v>
      </c>
    </row>
    <row r="94" spans="1:15" ht="15.75" customHeight="1">
      <c r="A94" s="49">
        <v>9</v>
      </c>
      <c r="B94" s="49" t="s">
        <v>2202</v>
      </c>
      <c r="C94" s="49" t="s">
        <v>227</v>
      </c>
      <c r="D94" s="49" t="s">
        <v>1030</v>
      </c>
      <c r="E94" s="49" t="s">
        <v>307</v>
      </c>
      <c r="F94" s="49"/>
      <c r="G94" s="49" t="s">
        <v>35</v>
      </c>
      <c r="H94" s="50">
        <v>1500</v>
      </c>
      <c r="I94" s="55">
        <v>300</v>
      </c>
      <c r="J94" s="49" t="s">
        <v>36</v>
      </c>
      <c r="K94" s="49" t="s">
        <v>37</v>
      </c>
    </row>
    <row r="95" spans="1:15" ht="15.75" customHeight="1">
      <c r="A95" s="49">
        <v>9</v>
      </c>
      <c r="B95" s="49" t="s">
        <v>2203</v>
      </c>
      <c r="C95" s="49" t="s">
        <v>227</v>
      </c>
      <c r="D95" s="49" t="s">
        <v>819</v>
      </c>
      <c r="E95" s="49" t="s">
        <v>232</v>
      </c>
      <c r="F95" s="49"/>
      <c r="G95" s="49" t="s">
        <v>35</v>
      </c>
      <c r="H95" s="49">
        <v>500</v>
      </c>
      <c r="I95" s="55">
        <v>100</v>
      </c>
      <c r="J95" s="49" t="s">
        <v>36</v>
      </c>
      <c r="K95" s="49" t="s">
        <v>37</v>
      </c>
    </row>
    <row r="96" spans="1:15" ht="15.75" customHeight="1">
      <c r="A96" s="49">
        <v>9</v>
      </c>
      <c r="B96" s="49" t="s">
        <v>2204</v>
      </c>
      <c r="C96" s="49" t="s">
        <v>227</v>
      </c>
      <c r="D96" s="49"/>
      <c r="E96" s="49" t="s">
        <v>84</v>
      </c>
      <c r="F96" s="49"/>
      <c r="G96" s="49" t="s">
        <v>120</v>
      </c>
      <c r="H96" s="49">
        <v>30</v>
      </c>
      <c r="I96" s="55"/>
      <c r="J96" s="49" t="s">
        <v>43</v>
      </c>
      <c r="K96" s="49" t="s">
        <v>37</v>
      </c>
    </row>
    <row r="97" spans="1:15" ht="15.75" customHeight="1">
      <c r="A97" s="49">
        <v>9</v>
      </c>
      <c r="B97" s="49" t="s">
        <v>2205</v>
      </c>
      <c r="C97" s="49" t="s">
        <v>246</v>
      </c>
      <c r="D97" s="49" t="s">
        <v>2206</v>
      </c>
      <c r="E97" s="49" t="s">
        <v>80</v>
      </c>
      <c r="F97" s="49"/>
      <c r="G97" s="49" t="s">
        <v>35</v>
      </c>
      <c r="H97" s="50">
        <v>1200</v>
      </c>
      <c r="I97" s="55"/>
      <c r="J97" s="49" t="s">
        <v>43</v>
      </c>
      <c r="K97" s="49" t="s">
        <v>37</v>
      </c>
    </row>
    <row r="98" spans="1:15" ht="15.75" customHeight="1">
      <c r="A98" s="49">
        <v>9</v>
      </c>
      <c r="B98" s="49" t="s">
        <v>2207</v>
      </c>
      <c r="C98" s="49" t="s">
        <v>227</v>
      </c>
      <c r="D98" s="49" t="s">
        <v>2208</v>
      </c>
      <c r="E98" s="49" t="s">
        <v>307</v>
      </c>
      <c r="F98" s="49"/>
      <c r="G98" s="49" t="s">
        <v>35</v>
      </c>
      <c r="H98" s="49">
        <v>100</v>
      </c>
      <c r="I98" s="55">
        <v>20</v>
      </c>
      <c r="J98" s="49" t="s">
        <v>36</v>
      </c>
      <c r="K98" s="49" t="s">
        <v>37</v>
      </c>
    </row>
    <row r="99" spans="1:15" ht="15.75" customHeight="1">
      <c r="A99" s="49">
        <v>9</v>
      </c>
      <c r="B99" s="49" t="s">
        <v>2209</v>
      </c>
      <c r="C99" s="49" t="s">
        <v>246</v>
      </c>
      <c r="D99" s="49" t="s">
        <v>1721</v>
      </c>
      <c r="E99" s="49" t="s">
        <v>193</v>
      </c>
      <c r="F99" s="49"/>
      <c r="G99" s="49" t="s">
        <v>120</v>
      </c>
      <c r="H99" s="49">
        <v>23</v>
      </c>
      <c r="I99" s="55">
        <v>460</v>
      </c>
      <c r="J99" s="49" t="s">
        <v>36</v>
      </c>
      <c r="K99" s="49" t="s">
        <v>37</v>
      </c>
    </row>
    <row r="100" spans="1:15" ht="15.75" customHeight="1">
      <c r="A100" s="49">
        <v>9</v>
      </c>
      <c r="B100" s="49" t="s">
        <v>2210</v>
      </c>
      <c r="C100" s="49" t="s">
        <v>227</v>
      </c>
      <c r="D100" s="49" t="s">
        <v>32</v>
      </c>
      <c r="E100" s="49" t="s">
        <v>241</v>
      </c>
      <c r="F100" s="49"/>
      <c r="G100" s="49" t="s">
        <v>35</v>
      </c>
      <c r="H100" s="49">
        <v>500</v>
      </c>
      <c r="I100" s="55">
        <v>100</v>
      </c>
      <c r="J100" s="49" t="s">
        <v>36</v>
      </c>
      <c r="K100" s="49" t="s">
        <v>37</v>
      </c>
    </row>
    <row r="101" spans="1:15" ht="15.75" customHeight="1">
      <c r="A101" s="49">
        <v>9</v>
      </c>
      <c r="B101" s="49" t="s">
        <v>477</v>
      </c>
      <c r="C101" s="49" t="s">
        <v>246</v>
      </c>
      <c r="D101" s="49" t="s">
        <v>264</v>
      </c>
      <c r="E101" s="49" t="s">
        <v>184</v>
      </c>
      <c r="F101" s="49"/>
      <c r="G101" s="49" t="s">
        <v>35</v>
      </c>
      <c r="H101" s="50">
        <v>10000</v>
      </c>
      <c r="I101" s="94">
        <v>2000</v>
      </c>
      <c r="J101" s="49" t="s">
        <v>36</v>
      </c>
      <c r="K101" s="49" t="s">
        <v>37</v>
      </c>
      <c r="O101" s="4"/>
    </row>
    <row r="102" spans="1:15" ht="15.75" customHeight="1">
      <c r="A102" s="49">
        <v>9</v>
      </c>
      <c r="B102" s="49" t="s">
        <v>2211</v>
      </c>
      <c r="C102" s="49" t="s">
        <v>227</v>
      </c>
      <c r="D102" s="49" t="s">
        <v>1030</v>
      </c>
      <c r="E102" s="49" t="s">
        <v>307</v>
      </c>
      <c r="F102" s="49"/>
      <c r="G102" s="49" t="s">
        <v>35</v>
      </c>
      <c r="H102" s="49">
        <v>200</v>
      </c>
      <c r="I102" s="55">
        <v>60</v>
      </c>
      <c r="J102" s="49" t="s">
        <v>36</v>
      </c>
      <c r="K102" s="49" t="s">
        <v>37</v>
      </c>
    </row>
    <row r="103" spans="1:15" ht="15.75" customHeight="1">
      <c r="A103" s="49">
        <v>9</v>
      </c>
      <c r="B103" s="49" t="s">
        <v>2211</v>
      </c>
      <c r="C103" s="49" t="s">
        <v>227</v>
      </c>
      <c r="D103" s="49" t="s">
        <v>1030</v>
      </c>
      <c r="E103" s="49" t="s">
        <v>307</v>
      </c>
      <c r="F103" s="49"/>
      <c r="G103" s="49" t="s">
        <v>120</v>
      </c>
      <c r="H103" s="49">
        <v>10</v>
      </c>
      <c r="I103" s="55">
        <v>100</v>
      </c>
      <c r="J103" s="49" t="s">
        <v>36</v>
      </c>
      <c r="K103" s="49" t="s">
        <v>37</v>
      </c>
    </row>
    <row r="104" spans="1:15" ht="15.75" customHeight="1">
      <c r="A104" s="49">
        <v>10</v>
      </c>
      <c r="B104" s="49" t="s">
        <v>2144</v>
      </c>
      <c r="C104" s="49" t="s">
        <v>227</v>
      </c>
      <c r="D104" s="49" t="s">
        <v>1243</v>
      </c>
      <c r="E104" s="49" t="s">
        <v>251</v>
      </c>
      <c r="F104" s="49"/>
      <c r="G104" s="49" t="s">
        <v>35</v>
      </c>
      <c r="H104" s="49">
        <v>300</v>
      </c>
      <c r="I104" s="55">
        <v>60</v>
      </c>
      <c r="J104" s="49" t="s">
        <v>36</v>
      </c>
      <c r="K104" s="49" t="s">
        <v>37</v>
      </c>
    </row>
    <row r="105" spans="1:15" ht="15.75" customHeight="1">
      <c r="A105" s="49">
        <v>10</v>
      </c>
      <c r="B105" s="49" t="s">
        <v>2212</v>
      </c>
      <c r="C105" s="49" t="s">
        <v>227</v>
      </c>
      <c r="D105" s="49" t="s">
        <v>234</v>
      </c>
      <c r="E105" s="49" t="s">
        <v>235</v>
      </c>
      <c r="F105" s="49"/>
      <c r="G105" s="49" t="s">
        <v>35</v>
      </c>
      <c r="H105" s="49">
        <v>600</v>
      </c>
      <c r="I105" s="55">
        <v>120</v>
      </c>
      <c r="J105" s="49" t="s">
        <v>36</v>
      </c>
      <c r="K105" s="49" t="s">
        <v>37</v>
      </c>
    </row>
    <row r="106" spans="1:15" ht="15.75" customHeight="1">
      <c r="A106" s="49">
        <v>10</v>
      </c>
      <c r="B106" s="49" t="s">
        <v>2213</v>
      </c>
      <c r="C106" s="49" t="s">
        <v>227</v>
      </c>
      <c r="D106" s="49" t="s">
        <v>604</v>
      </c>
      <c r="E106" s="49" t="s">
        <v>235</v>
      </c>
      <c r="F106" s="49"/>
      <c r="G106" s="49" t="s">
        <v>242</v>
      </c>
      <c r="H106" s="49">
        <v>30</v>
      </c>
      <c r="I106" s="55">
        <v>90</v>
      </c>
      <c r="J106" s="49" t="s">
        <v>36</v>
      </c>
      <c r="K106" s="49" t="s">
        <v>37</v>
      </c>
    </row>
    <row r="107" spans="1:15" ht="15.75" customHeight="1">
      <c r="A107" s="49">
        <v>10</v>
      </c>
      <c r="B107" s="49" t="s">
        <v>2214</v>
      </c>
      <c r="C107" s="49" t="s">
        <v>227</v>
      </c>
      <c r="D107" s="49" t="s">
        <v>2215</v>
      </c>
      <c r="E107" s="49" t="s">
        <v>48</v>
      </c>
      <c r="F107" s="49"/>
      <c r="G107" s="49" t="s">
        <v>120</v>
      </c>
      <c r="H107" s="49">
        <v>5</v>
      </c>
      <c r="I107" s="55">
        <v>50</v>
      </c>
      <c r="J107" s="49" t="s">
        <v>36</v>
      </c>
      <c r="K107" s="49" t="s">
        <v>37</v>
      </c>
    </row>
    <row r="108" spans="1:15" ht="15.75" customHeight="1">
      <c r="A108" s="49">
        <v>10</v>
      </c>
      <c r="B108" s="49" t="s">
        <v>631</v>
      </c>
      <c r="C108" s="49" t="s">
        <v>227</v>
      </c>
      <c r="D108" s="49" t="s">
        <v>231</v>
      </c>
      <c r="E108" s="49" t="s">
        <v>232</v>
      </c>
      <c r="F108" s="49"/>
      <c r="G108" s="49" t="s">
        <v>35</v>
      </c>
      <c r="H108" s="49">
        <v>200</v>
      </c>
      <c r="I108" s="55">
        <v>40</v>
      </c>
      <c r="J108" s="49" t="s">
        <v>36</v>
      </c>
      <c r="K108" s="49" t="s">
        <v>37</v>
      </c>
    </row>
    <row r="109" spans="1:15" ht="15.75" customHeight="1">
      <c r="A109" s="49">
        <v>10</v>
      </c>
      <c r="B109" s="49" t="s">
        <v>631</v>
      </c>
      <c r="C109" s="49" t="s">
        <v>227</v>
      </c>
      <c r="D109" s="49" t="s">
        <v>231</v>
      </c>
      <c r="E109" s="49" t="s">
        <v>232</v>
      </c>
      <c r="F109" s="49"/>
      <c r="G109" s="49" t="s">
        <v>35</v>
      </c>
      <c r="H109" s="49">
        <v>450</v>
      </c>
      <c r="I109" s="55">
        <v>135</v>
      </c>
      <c r="J109" s="49" t="s">
        <v>36</v>
      </c>
      <c r="K109" s="49" t="s">
        <v>37</v>
      </c>
    </row>
    <row r="110" spans="1:15" ht="15.75" customHeight="1">
      <c r="A110" s="49">
        <v>10</v>
      </c>
      <c r="B110" s="49" t="s">
        <v>2216</v>
      </c>
      <c r="C110" s="49" t="s">
        <v>246</v>
      </c>
      <c r="D110" s="49" t="s">
        <v>1030</v>
      </c>
      <c r="E110" s="49" t="s">
        <v>307</v>
      </c>
      <c r="F110" s="49"/>
      <c r="G110" s="49" t="s">
        <v>35</v>
      </c>
      <c r="H110" s="50">
        <v>1000</v>
      </c>
      <c r="I110" s="55">
        <v>200</v>
      </c>
      <c r="J110" s="49" t="s">
        <v>36</v>
      </c>
      <c r="K110" s="49" t="s">
        <v>37</v>
      </c>
    </row>
    <row r="111" spans="1:15" ht="15.75" customHeight="1">
      <c r="A111" s="49">
        <v>10</v>
      </c>
      <c r="B111" s="49" t="s">
        <v>2217</v>
      </c>
      <c r="C111" s="49" t="s">
        <v>246</v>
      </c>
      <c r="D111" s="49" t="s">
        <v>2218</v>
      </c>
      <c r="E111" s="49" t="s">
        <v>75</v>
      </c>
      <c r="F111" s="49"/>
      <c r="G111" s="49" t="s">
        <v>120</v>
      </c>
      <c r="H111" s="49">
        <v>10</v>
      </c>
      <c r="I111" s="55">
        <v>100</v>
      </c>
      <c r="J111" s="49" t="s">
        <v>36</v>
      </c>
      <c r="K111" s="49" t="s">
        <v>37</v>
      </c>
    </row>
    <row r="112" spans="1:15" ht="15.75" customHeight="1">
      <c r="A112" s="49">
        <v>10</v>
      </c>
      <c r="B112" s="49" t="s">
        <v>2217</v>
      </c>
      <c r="C112" s="49" t="s">
        <v>246</v>
      </c>
      <c r="D112" s="49" t="s">
        <v>2218</v>
      </c>
      <c r="E112" s="49" t="s">
        <v>75</v>
      </c>
      <c r="F112" s="49"/>
      <c r="G112" s="49" t="s">
        <v>120</v>
      </c>
      <c r="H112" s="49">
        <v>10</v>
      </c>
      <c r="I112" s="55">
        <v>200</v>
      </c>
      <c r="J112" s="49" t="s">
        <v>36</v>
      </c>
      <c r="K112" s="49" t="s">
        <v>37</v>
      </c>
    </row>
    <row r="113" spans="1:17" ht="15.75" customHeight="1">
      <c r="A113" s="49">
        <v>10</v>
      </c>
      <c r="B113" s="49" t="s">
        <v>2217</v>
      </c>
      <c r="C113" s="49" t="s">
        <v>246</v>
      </c>
      <c r="D113" s="49" t="s">
        <v>2218</v>
      </c>
      <c r="E113" s="49" t="s">
        <v>75</v>
      </c>
      <c r="F113" s="49"/>
      <c r="G113" s="49" t="s">
        <v>242</v>
      </c>
      <c r="H113" s="49">
        <v>10</v>
      </c>
      <c r="I113" s="55">
        <v>30</v>
      </c>
      <c r="J113" s="49" t="s">
        <v>36</v>
      </c>
      <c r="K113" s="49" t="s">
        <v>37</v>
      </c>
    </row>
    <row r="114" spans="1:17" ht="15.75" customHeight="1">
      <c r="A114" s="49">
        <v>11</v>
      </c>
      <c r="B114" s="49" t="s">
        <v>2219</v>
      </c>
      <c r="C114" s="49" t="s">
        <v>227</v>
      </c>
      <c r="D114" s="49" t="s">
        <v>524</v>
      </c>
      <c r="E114" s="49" t="s">
        <v>525</v>
      </c>
      <c r="F114" s="49"/>
      <c r="G114" s="49" t="s">
        <v>35</v>
      </c>
      <c r="H114" s="49">
        <v>200</v>
      </c>
      <c r="I114" s="55">
        <v>60</v>
      </c>
      <c r="J114" s="49" t="s">
        <v>36</v>
      </c>
      <c r="K114" s="49" t="s">
        <v>37</v>
      </c>
    </row>
    <row r="115" spans="1:17" ht="15.75" customHeight="1">
      <c r="A115" s="49">
        <v>11</v>
      </c>
      <c r="B115" s="49" t="s">
        <v>2220</v>
      </c>
      <c r="C115" s="49" t="s">
        <v>227</v>
      </c>
      <c r="D115" s="49" t="s">
        <v>2221</v>
      </c>
      <c r="E115" s="49" t="s">
        <v>2222</v>
      </c>
      <c r="F115" s="49"/>
      <c r="G115" s="49" t="s">
        <v>35</v>
      </c>
      <c r="H115" s="49">
        <v>600</v>
      </c>
      <c r="I115" s="55"/>
      <c r="J115" s="49" t="s">
        <v>43</v>
      </c>
      <c r="K115" s="49" t="s">
        <v>37</v>
      </c>
    </row>
    <row r="116" spans="1:17" ht="15.75" customHeight="1">
      <c r="A116" s="49">
        <v>11</v>
      </c>
      <c r="B116" s="49" t="s">
        <v>2223</v>
      </c>
      <c r="C116" s="49" t="s">
        <v>246</v>
      </c>
      <c r="D116" s="49" t="s">
        <v>679</v>
      </c>
      <c r="E116" s="49" t="s">
        <v>232</v>
      </c>
      <c r="F116" s="49"/>
      <c r="G116" s="49" t="s">
        <v>35</v>
      </c>
      <c r="H116" s="50">
        <v>1500</v>
      </c>
      <c r="I116" s="55">
        <v>450</v>
      </c>
      <c r="J116" s="49" t="s">
        <v>36</v>
      </c>
      <c r="K116" s="49" t="s">
        <v>37</v>
      </c>
    </row>
    <row r="117" spans="1:17" ht="15.75" customHeight="1">
      <c r="A117" s="49">
        <v>11</v>
      </c>
      <c r="B117" s="49" t="s">
        <v>2223</v>
      </c>
      <c r="C117" s="49" t="s">
        <v>246</v>
      </c>
      <c r="D117" s="49" t="s">
        <v>679</v>
      </c>
      <c r="E117" s="49" t="s">
        <v>232</v>
      </c>
      <c r="F117" s="49"/>
      <c r="G117" s="49" t="s">
        <v>35</v>
      </c>
      <c r="H117" s="49">
        <v>500</v>
      </c>
      <c r="I117" s="55"/>
      <c r="J117" s="49" t="s">
        <v>43</v>
      </c>
      <c r="K117" s="49" t="s">
        <v>37</v>
      </c>
    </row>
    <row r="118" spans="1:17" ht="15.75" customHeight="1">
      <c r="A118" s="49">
        <v>11</v>
      </c>
      <c r="B118" s="49" t="s">
        <v>2224</v>
      </c>
      <c r="C118" s="49" t="s">
        <v>246</v>
      </c>
      <c r="D118" s="49" t="s">
        <v>1721</v>
      </c>
      <c r="E118" s="49" t="s">
        <v>193</v>
      </c>
      <c r="F118" s="49"/>
      <c r="G118" s="49" t="s">
        <v>35</v>
      </c>
      <c r="H118" s="50">
        <v>18000</v>
      </c>
      <c r="I118" s="94">
        <v>5400</v>
      </c>
      <c r="J118" s="49" t="s">
        <v>36</v>
      </c>
      <c r="K118" s="49" t="s">
        <v>37</v>
      </c>
      <c r="Q118" s="4"/>
    </row>
    <row r="119" spans="1:17" ht="15.75" customHeight="1">
      <c r="A119" s="49">
        <v>11</v>
      </c>
      <c r="B119" s="49" t="s">
        <v>2224</v>
      </c>
      <c r="C119" s="49" t="s">
        <v>246</v>
      </c>
      <c r="D119" s="49" t="s">
        <v>1721</v>
      </c>
      <c r="E119" s="49" t="s">
        <v>193</v>
      </c>
      <c r="F119" s="49"/>
      <c r="G119" s="49" t="s">
        <v>120</v>
      </c>
      <c r="H119" s="49">
        <v>20</v>
      </c>
      <c r="I119" s="55">
        <v>200</v>
      </c>
      <c r="J119" s="49" t="s">
        <v>36</v>
      </c>
      <c r="K119" s="49" t="s">
        <v>37</v>
      </c>
    </row>
    <row r="120" spans="1:17" ht="15.75" customHeight="1">
      <c r="A120" s="49">
        <v>11</v>
      </c>
      <c r="B120" s="49" t="s">
        <v>2225</v>
      </c>
      <c r="C120" s="49" t="s">
        <v>227</v>
      </c>
      <c r="D120" s="49" t="s">
        <v>2226</v>
      </c>
      <c r="E120" s="49" t="s">
        <v>41</v>
      </c>
      <c r="F120" s="49"/>
      <c r="G120" s="49" t="s">
        <v>35</v>
      </c>
      <c r="H120" s="50">
        <v>1000</v>
      </c>
      <c r="I120" s="55">
        <v>200</v>
      </c>
      <c r="J120" s="49" t="s">
        <v>36</v>
      </c>
      <c r="K120" s="49" t="s">
        <v>37</v>
      </c>
    </row>
    <row r="121" spans="1:17" ht="15.75" customHeight="1">
      <c r="A121" s="49">
        <v>11</v>
      </c>
      <c r="B121" s="49" t="s">
        <v>2225</v>
      </c>
      <c r="C121" s="49" t="s">
        <v>227</v>
      </c>
      <c r="D121" s="49" t="s">
        <v>2226</v>
      </c>
      <c r="E121" s="49" t="s">
        <v>41</v>
      </c>
      <c r="F121" s="49"/>
      <c r="G121" s="49" t="s">
        <v>35</v>
      </c>
      <c r="H121" s="49">
        <v>500</v>
      </c>
      <c r="I121" s="55"/>
      <c r="J121" s="49" t="s">
        <v>43</v>
      </c>
      <c r="K121" s="49" t="s">
        <v>37</v>
      </c>
    </row>
    <row r="122" spans="1:17" ht="15.75" customHeight="1">
      <c r="A122" s="49">
        <v>11</v>
      </c>
      <c r="B122" s="49" t="s">
        <v>913</v>
      </c>
      <c r="C122" s="49" t="s">
        <v>227</v>
      </c>
      <c r="D122" s="49" t="s">
        <v>2227</v>
      </c>
      <c r="E122" s="49" t="s">
        <v>184</v>
      </c>
      <c r="F122" s="49"/>
      <c r="G122" s="49" t="s">
        <v>35</v>
      </c>
      <c r="H122" s="50">
        <v>3000</v>
      </c>
      <c r="I122" s="55">
        <v>900</v>
      </c>
      <c r="J122" s="49" t="s">
        <v>36</v>
      </c>
      <c r="K122" s="49" t="s">
        <v>37</v>
      </c>
    </row>
    <row r="123" spans="1:17" ht="15.75" customHeight="1">
      <c r="A123" s="49">
        <v>11</v>
      </c>
      <c r="B123" s="49" t="s">
        <v>2228</v>
      </c>
      <c r="C123" s="49" t="s">
        <v>227</v>
      </c>
      <c r="D123" s="49" t="s">
        <v>1568</v>
      </c>
      <c r="E123" s="49" t="s">
        <v>152</v>
      </c>
      <c r="F123" s="49"/>
      <c r="G123" s="49" t="s">
        <v>35</v>
      </c>
      <c r="H123" s="50">
        <v>2000</v>
      </c>
      <c r="I123" s="55">
        <v>400</v>
      </c>
      <c r="J123" s="49" t="s">
        <v>36</v>
      </c>
      <c r="K123" s="49" t="s">
        <v>37</v>
      </c>
    </row>
    <row r="124" spans="1:17" ht="15.75" customHeight="1">
      <c r="A124" s="49">
        <v>11</v>
      </c>
      <c r="B124" s="49" t="s">
        <v>2229</v>
      </c>
      <c r="C124" s="49" t="s">
        <v>227</v>
      </c>
      <c r="D124" s="49" t="s">
        <v>244</v>
      </c>
      <c r="E124" s="49" t="s">
        <v>232</v>
      </c>
      <c r="F124" s="49"/>
      <c r="G124" s="49" t="s">
        <v>35</v>
      </c>
      <c r="H124" s="49">
        <v>200</v>
      </c>
      <c r="I124" s="55">
        <v>40</v>
      </c>
      <c r="J124" s="49" t="s">
        <v>36</v>
      </c>
      <c r="K124" s="49" t="s">
        <v>37</v>
      </c>
    </row>
    <row r="125" spans="1:17" ht="15.75" customHeight="1">
      <c r="A125" s="49">
        <v>11</v>
      </c>
      <c r="B125" s="49" t="s">
        <v>2229</v>
      </c>
      <c r="C125" s="49" t="s">
        <v>227</v>
      </c>
      <c r="D125" s="49" t="s">
        <v>244</v>
      </c>
      <c r="E125" s="49" t="s">
        <v>232</v>
      </c>
      <c r="F125" s="49"/>
      <c r="G125" s="49" t="s">
        <v>120</v>
      </c>
      <c r="H125" s="49">
        <v>10</v>
      </c>
      <c r="I125" s="55">
        <v>100</v>
      </c>
      <c r="J125" s="49" t="s">
        <v>36</v>
      </c>
      <c r="K125" s="49" t="s">
        <v>37</v>
      </c>
    </row>
    <row r="126" spans="1:17" ht="15.75" customHeight="1">
      <c r="A126" s="49">
        <v>11</v>
      </c>
      <c r="B126" s="49" t="s">
        <v>1468</v>
      </c>
      <c r="C126" s="49" t="s">
        <v>227</v>
      </c>
      <c r="D126" s="49" t="s">
        <v>407</v>
      </c>
      <c r="E126" s="49" t="s">
        <v>164</v>
      </c>
      <c r="F126" s="49"/>
      <c r="G126" s="49" t="s">
        <v>35</v>
      </c>
      <c r="H126" s="50">
        <v>8000</v>
      </c>
      <c r="I126" s="94">
        <v>1600</v>
      </c>
      <c r="J126" s="49" t="s">
        <v>36</v>
      </c>
      <c r="K126" s="49" t="s">
        <v>37</v>
      </c>
      <c r="O126" s="4"/>
    </row>
    <row r="127" spans="1:17" ht="15.75" customHeight="1">
      <c r="A127" s="49">
        <v>11</v>
      </c>
      <c r="B127" s="49" t="s">
        <v>1468</v>
      </c>
      <c r="C127" s="49" t="s">
        <v>227</v>
      </c>
      <c r="D127" s="49" t="s">
        <v>407</v>
      </c>
      <c r="E127" s="49" t="s">
        <v>164</v>
      </c>
      <c r="F127" s="49"/>
      <c r="G127" s="49" t="s">
        <v>120</v>
      </c>
      <c r="H127" s="49">
        <v>40</v>
      </c>
      <c r="I127" s="55">
        <v>400</v>
      </c>
      <c r="J127" s="49" t="s">
        <v>36</v>
      </c>
      <c r="K127" s="49" t="s">
        <v>37</v>
      </c>
    </row>
    <row r="128" spans="1:17" ht="15.75" customHeight="1">
      <c r="A128" s="49">
        <v>12</v>
      </c>
      <c r="B128" s="49" t="s">
        <v>2230</v>
      </c>
      <c r="C128" s="49" t="s">
        <v>246</v>
      </c>
      <c r="D128" s="49" t="s">
        <v>1092</v>
      </c>
      <c r="E128" s="49" t="s">
        <v>254</v>
      </c>
      <c r="F128" s="49"/>
      <c r="G128" s="49" t="s">
        <v>120</v>
      </c>
      <c r="H128" s="49">
        <v>10</v>
      </c>
      <c r="I128" s="55">
        <v>100</v>
      </c>
      <c r="J128" s="49" t="s">
        <v>36</v>
      </c>
      <c r="K128" s="49" t="s">
        <v>37</v>
      </c>
    </row>
    <row r="129" spans="1:17" ht="15.75" customHeight="1">
      <c r="A129" s="49">
        <v>12</v>
      </c>
      <c r="B129" s="49" t="s">
        <v>2231</v>
      </c>
      <c r="C129" s="49" t="s">
        <v>227</v>
      </c>
      <c r="D129" s="49" t="s">
        <v>1721</v>
      </c>
      <c r="E129" s="49" t="s">
        <v>193</v>
      </c>
      <c r="F129" s="49"/>
      <c r="G129" s="49" t="s">
        <v>35</v>
      </c>
      <c r="H129" s="50">
        <v>17000</v>
      </c>
      <c r="I129" s="94">
        <v>3400</v>
      </c>
      <c r="J129" s="49" t="s">
        <v>36</v>
      </c>
      <c r="K129" s="49" t="s">
        <v>37</v>
      </c>
      <c r="Q129" s="4"/>
    </row>
    <row r="130" spans="1:17" ht="15.75" customHeight="1">
      <c r="A130" s="49">
        <v>12</v>
      </c>
      <c r="B130" s="49" t="s">
        <v>2231</v>
      </c>
      <c r="C130" s="49" t="s">
        <v>227</v>
      </c>
      <c r="D130" s="49" t="s">
        <v>1721</v>
      </c>
      <c r="E130" s="49" t="s">
        <v>193</v>
      </c>
      <c r="F130" s="49"/>
      <c r="G130" s="49" t="s">
        <v>120</v>
      </c>
      <c r="H130" s="49">
        <v>3</v>
      </c>
      <c r="I130" s="55">
        <v>30</v>
      </c>
      <c r="J130" s="49" t="s">
        <v>36</v>
      </c>
      <c r="K130" s="49" t="s">
        <v>37</v>
      </c>
    </row>
    <row r="131" spans="1:17" ht="15.75" customHeight="1">
      <c r="A131" s="49">
        <v>12</v>
      </c>
      <c r="B131" s="49" t="s">
        <v>2232</v>
      </c>
      <c r="C131" s="49" t="s">
        <v>227</v>
      </c>
      <c r="D131" s="49" t="s">
        <v>699</v>
      </c>
      <c r="E131" s="49" t="s">
        <v>307</v>
      </c>
      <c r="F131" s="49"/>
      <c r="G131" s="49" t="s">
        <v>35</v>
      </c>
      <c r="H131" s="50">
        <v>20000</v>
      </c>
      <c r="I131" s="94">
        <v>4000</v>
      </c>
      <c r="J131" s="49" t="s">
        <v>36</v>
      </c>
      <c r="K131" s="49" t="s">
        <v>37</v>
      </c>
      <c r="O131" s="4"/>
    </row>
    <row r="132" spans="1:17" ht="15.75" customHeight="1">
      <c r="A132" s="49">
        <v>12</v>
      </c>
      <c r="B132" s="49" t="s">
        <v>2233</v>
      </c>
      <c r="C132" s="49" t="s">
        <v>227</v>
      </c>
      <c r="D132" s="49" t="s">
        <v>959</v>
      </c>
      <c r="E132" s="49" t="s">
        <v>507</v>
      </c>
      <c r="F132" s="49"/>
      <c r="G132" s="49" t="s">
        <v>35</v>
      </c>
      <c r="H132" s="49">
        <v>500</v>
      </c>
      <c r="I132" s="55">
        <v>100</v>
      </c>
      <c r="J132" s="49" t="s">
        <v>36</v>
      </c>
      <c r="K132" s="49" t="s">
        <v>37</v>
      </c>
    </row>
    <row r="133" spans="1:17" ht="15.75" customHeight="1">
      <c r="A133" s="49">
        <v>12</v>
      </c>
      <c r="B133" s="49" t="s">
        <v>2234</v>
      </c>
      <c r="C133" s="49" t="s">
        <v>227</v>
      </c>
      <c r="D133" s="49" t="s">
        <v>736</v>
      </c>
      <c r="E133" s="49" t="s">
        <v>232</v>
      </c>
      <c r="F133" s="49"/>
      <c r="G133" s="49" t="s">
        <v>35</v>
      </c>
      <c r="H133" s="50">
        <v>3500</v>
      </c>
      <c r="I133" s="55">
        <v>700</v>
      </c>
      <c r="J133" s="49" t="s">
        <v>36</v>
      </c>
      <c r="K133" s="49" t="s">
        <v>37</v>
      </c>
      <c r="O133" s="4"/>
    </row>
    <row r="134" spans="1:17" ht="15.75" customHeight="1">
      <c r="A134" s="49">
        <v>12</v>
      </c>
      <c r="B134" s="49" t="s">
        <v>2234</v>
      </c>
      <c r="C134" s="49" t="s">
        <v>227</v>
      </c>
      <c r="D134" s="49" t="s">
        <v>736</v>
      </c>
      <c r="E134" s="49" t="s">
        <v>232</v>
      </c>
      <c r="F134" s="49"/>
      <c r="G134" s="49" t="s">
        <v>35</v>
      </c>
      <c r="H134" s="49">
        <v>500</v>
      </c>
      <c r="I134" s="55"/>
      <c r="J134" s="49" t="s">
        <v>43</v>
      </c>
      <c r="K134" s="49" t="s">
        <v>37</v>
      </c>
    </row>
    <row r="135" spans="1:17" ht="15.75" customHeight="1">
      <c r="A135" s="49">
        <v>15</v>
      </c>
      <c r="B135" s="49" t="s">
        <v>2235</v>
      </c>
      <c r="C135" s="49" t="s">
        <v>227</v>
      </c>
      <c r="D135" s="49" t="s">
        <v>1249</v>
      </c>
      <c r="E135" s="49" t="s">
        <v>251</v>
      </c>
      <c r="F135" s="49"/>
      <c r="G135" s="49" t="s">
        <v>120</v>
      </c>
      <c r="H135" s="49">
        <v>25</v>
      </c>
      <c r="I135" s="55">
        <v>250</v>
      </c>
      <c r="J135" s="49" t="s">
        <v>36</v>
      </c>
      <c r="K135" s="49" t="s">
        <v>37</v>
      </c>
    </row>
    <row r="136" spans="1:17" ht="15.75" customHeight="1">
      <c r="A136" s="49">
        <v>15</v>
      </c>
      <c r="B136" s="49" t="s">
        <v>2236</v>
      </c>
      <c r="C136" s="49" t="s">
        <v>227</v>
      </c>
      <c r="D136" s="49" t="s">
        <v>295</v>
      </c>
      <c r="E136" s="49" t="s">
        <v>248</v>
      </c>
      <c r="F136" s="49"/>
      <c r="G136" s="49" t="s">
        <v>35</v>
      </c>
      <c r="H136" s="50">
        <v>1500</v>
      </c>
      <c r="I136" s="55">
        <v>300</v>
      </c>
      <c r="J136" s="49" t="s">
        <v>36</v>
      </c>
      <c r="K136" s="49" t="s">
        <v>37</v>
      </c>
    </row>
    <row r="137" spans="1:17" ht="15.75" customHeight="1">
      <c r="A137" s="49">
        <v>15</v>
      </c>
      <c r="B137" s="49" t="s">
        <v>2237</v>
      </c>
      <c r="C137" s="49" t="s">
        <v>227</v>
      </c>
      <c r="D137" s="49" t="s">
        <v>858</v>
      </c>
      <c r="E137" s="49" t="s">
        <v>232</v>
      </c>
      <c r="F137" s="49"/>
      <c r="G137" s="49" t="s">
        <v>35</v>
      </c>
      <c r="H137" s="50">
        <v>1000</v>
      </c>
      <c r="I137" s="55">
        <v>200</v>
      </c>
      <c r="J137" s="49" t="s">
        <v>36</v>
      </c>
      <c r="K137" s="49" t="s">
        <v>37</v>
      </c>
    </row>
    <row r="138" spans="1:17" ht="15.75" customHeight="1">
      <c r="A138" s="49">
        <v>15</v>
      </c>
      <c r="B138" s="49" t="s">
        <v>2237</v>
      </c>
      <c r="C138" s="49" t="s">
        <v>227</v>
      </c>
      <c r="D138" s="49" t="s">
        <v>858</v>
      </c>
      <c r="E138" s="49" t="s">
        <v>232</v>
      </c>
      <c r="F138" s="49"/>
      <c r="G138" s="49" t="s">
        <v>35</v>
      </c>
      <c r="H138" s="49">
        <v>500</v>
      </c>
      <c r="I138" s="55"/>
      <c r="J138" s="49" t="s">
        <v>43</v>
      </c>
      <c r="K138" s="49" t="s">
        <v>37</v>
      </c>
    </row>
    <row r="139" spans="1:17" ht="15.75" customHeight="1">
      <c r="A139" s="49">
        <v>15</v>
      </c>
      <c r="B139" s="49" t="s">
        <v>2238</v>
      </c>
      <c r="C139" s="49" t="s">
        <v>246</v>
      </c>
      <c r="D139" s="49" t="s">
        <v>1081</v>
      </c>
      <c r="E139" s="49" t="s">
        <v>254</v>
      </c>
      <c r="F139" s="49"/>
      <c r="G139" s="49" t="s">
        <v>35</v>
      </c>
      <c r="H139" s="49">
        <v>100</v>
      </c>
      <c r="I139" s="55">
        <v>20</v>
      </c>
      <c r="J139" s="49" t="s">
        <v>36</v>
      </c>
      <c r="K139" s="49" t="s">
        <v>37</v>
      </c>
    </row>
    <row r="140" spans="1:17" ht="15.75" customHeight="1">
      <c r="A140" s="49">
        <v>15</v>
      </c>
      <c r="B140" s="49" t="s">
        <v>2238</v>
      </c>
      <c r="C140" s="49" t="s">
        <v>246</v>
      </c>
      <c r="D140" s="49" t="s">
        <v>1081</v>
      </c>
      <c r="E140" s="49" t="s">
        <v>254</v>
      </c>
      <c r="F140" s="49"/>
      <c r="G140" s="49" t="s">
        <v>120</v>
      </c>
      <c r="H140" s="49">
        <v>4</v>
      </c>
      <c r="I140" s="55">
        <v>40</v>
      </c>
      <c r="J140" s="49" t="s">
        <v>36</v>
      </c>
      <c r="K140" s="49" t="s">
        <v>37</v>
      </c>
    </row>
    <row r="141" spans="1:17" ht="15.75" customHeight="1">
      <c r="A141" s="49">
        <v>15</v>
      </c>
      <c r="B141" s="49" t="s">
        <v>2239</v>
      </c>
      <c r="C141" s="49" t="s">
        <v>227</v>
      </c>
      <c r="D141" s="49" t="s">
        <v>1581</v>
      </c>
      <c r="E141" s="49" t="s">
        <v>386</v>
      </c>
      <c r="F141" s="49"/>
      <c r="G141" s="49" t="s">
        <v>35</v>
      </c>
      <c r="H141" s="49">
        <v>300</v>
      </c>
      <c r="I141" s="55">
        <v>60</v>
      </c>
      <c r="J141" s="49" t="s">
        <v>36</v>
      </c>
      <c r="K141" s="49" t="s">
        <v>37</v>
      </c>
    </row>
    <row r="142" spans="1:17" ht="15.75" customHeight="1">
      <c r="A142" s="49">
        <v>15</v>
      </c>
      <c r="B142" s="49" t="s">
        <v>2240</v>
      </c>
      <c r="C142" s="49" t="s">
        <v>227</v>
      </c>
      <c r="D142" s="49" t="s">
        <v>616</v>
      </c>
      <c r="E142" s="49" t="s">
        <v>241</v>
      </c>
      <c r="F142" s="49"/>
      <c r="G142" s="49" t="s">
        <v>35</v>
      </c>
      <c r="H142" s="50">
        <v>1300</v>
      </c>
      <c r="I142" s="55">
        <v>390</v>
      </c>
      <c r="J142" s="49" t="s">
        <v>36</v>
      </c>
      <c r="K142" s="49" t="s">
        <v>37</v>
      </c>
    </row>
    <row r="143" spans="1:17" ht="15.75" customHeight="1">
      <c r="A143" s="49">
        <v>15</v>
      </c>
      <c r="B143" s="49" t="s">
        <v>2241</v>
      </c>
      <c r="C143" s="49" t="s">
        <v>227</v>
      </c>
      <c r="D143" s="49" t="s">
        <v>2242</v>
      </c>
      <c r="E143" s="49" t="s">
        <v>232</v>
      </c>
      <c r="F143" s="49"/>
      <c r="G143" s="49" t="s">
        <v>35</v>
      </c>
      <c r="H143" s="49">
        <v>500</v>
      </c>
      <c r="I143" s="55"/>
      <c r="J143" s="49" t="s">
        <v>43</v>
      </c>
      <c r="K143" s="49" t="s">
        <v>37</v>
      </c>
    </row>
    <row r="144" spans="1:17" ht="15.75" customHeight="1">
      <c r="A144" s="49">
        <v>15</v>
      </c>
      <c r="B144" s="49" t="s">
        <v>2243</v>
      </c>
      <c r="C144" s="49" t="s">
        <v>227</v>
      </c>
      <c r="D144" s="49" t="s">
        <v>354</v>
      </c>
      <c r="E144" s="49" t="s">
        <v>251</v>
      </c>
      <c r="F144" s="49"/>
      <c r="G144" s="49" t="s">
        <v>35</v>
      </c>
      <c r="H144" s="49">
        <v>100</v>
      </c>
      <c r="I144" s="55">
        <v>20</v>
      </c>
      <c r="J144" s="49" t="s">
        <v>36</v>
      </c>
      <c r="K144" s="49" t="s">
        <v>37</v>
      </c>
    </row>
    <row r="145" spans="1:15" ht="15.75" customHeight="1">
      <c r="A145" s="49">
        <v>15</v>
      </c>
      <c r="B145" s="49" t="s">
        <v>2244</v>
      </c>
      <c r="C145" s="49" t="s">
        <v>227</v>
      </c>
      <c r="D145" s="49" t="s">
        <v>2245</v>
      </c>
      <c r="E145" s="49" t="s">
        <v>158</v>
      </c>
      <c r="F145" s="49"/>
      <c r="G145" s="49" t="s">
        <v>35</v>
      </c>
      <c r="H145" s="49">
        <v>200</v>
      </c>
      <c r="I145" s="55">
        <v>60</v>
      </c>
      <c r="J145" s="49" t="s">
        <v>36</v>
      </c>
      <c r="K145" s="49" t="s">
        <v>37</v>
      </c>
    </row>
    <row r="146" spans="1:15" ht="15.75" customHeight="1">
      <c r="A146" s="49">
        <v>15</v>
      </c>
      <c r="B146" s="49" t="s">
        <v>2246</v>
      </c>
      <c r="C146" s="49" t="s">
        <v>227</v>
      </c>
      <c r="D146" s="49" t="s">
        <v>2242</v>
      </c>
      <c r="E146" s="49" t="s">
        <v>232</v>
      </c>
      <c r="F146" s="49"/>
      <c r="G146" s="49" t="s">
        <v>35</v>
      </c>
      <c r="H146" s="49">
        <v>500</v>
      </c>
      <c r="I146" s="55"/>
      <c r="J146" s="49" t="s">
        <v>43</v>
      </c>
      <c r="K146" s="49" t="s">
        <v>37</v>
      </c>
    </row>
    <row r="147" spans="1:15" ht="15.75" customHeight="1">
      <c r="A147" s="49">
        <v>15</v>
      </c>
      <c r="B147" s="49" t="s">
        <v>876</v>
      </c>
      <c r="C147" s="49" t="s">
        <v>227</v>
      </c>
      <c r="D147" s="49" t="s">
        <v>527</v>
      </c>
      <c r="E147" s="49" t="s">
        <v>251</v>
      </c>
      <c r="F147" s="49"/>
      <c r="G147" s="49" t="s">
        <v>35</v>
      </c>
      <c r="H147" s="50">
        <v>2000</v>
      </c>
      <c r="I147" s="55">
        <v>600</v>
      </c>
      <c r="J147" s="49" t="s">
        <v>36</v>
      </c>
      <c r="K147" s="49" t="s">
        <v>37</v>
      </c>
    </row>
    <row r="148" spans="1:15" ht="15.75" customHeight="1">
      <c r="A148" s="49">
        <v>15</v>
      </c>
      <c r="B148" s="49" t="s">
        <v>876</v>
      </c>
      <c r="C148" s="49" t="s">
        <v>227</v>
      </c>
      <c r="D148" s="49" t="s">
        <v>527</v>
      </c>
      <c r="E148" s="49" t="s">
        <v>251</v>
      </c>
      <c r="F148" s="49"/>
      <c r="G148" s="49" t="s">
        <v>120</v>
      </c>
      <c r="H148" s="49">
        <v>100</v>
      </c>
      <c r="I148" s="94">
        <v>1000</v>
      </c>
      <c r="J148" s="49" t="s">
        <v>36</v>
      </c>
      <c r="K148" s="49" t="s">
        <v>37</v>
      </c>
    </row>
    <row r="149" spans="1:15" ht="15.75" customHeight="1">
      <c r="A149" s="49">
        <v>16</v>
      </c>
      <c r="B149" s="49" t="s">
        <v>876</v>
      </c>
      <c r="C149" s="49" t="s">
        <v>227</v>
      </c>
      <c r="D149" s="49" t="s">
        <v>527</v>
      </c>
      <c r="E149" s="49" t="s">
        <v>251</v>
      </c>
      <c r="F149" s="49"/>
      <c r="G149" s="49" t="s">
        <v>35</v>
      </c>
      <c r="H149" s="50">
        <v>2500</v>
      </c>
      <c r="I149" s="55">
        <v>750</v>
      </c>
      <c r="J149" s="49" t="s">
        <v>36</v>
      </c>
      <c r="K149" s="49" t="s">
        <v>37</v>
      </c>
    </row>
    <row r="150" spans="1:15" ht="15.75" customHeight="1">
      <c r="A150" s="49">
        <v>16</v>
      </c>
      <c r="B150" s="49" t="s">
        <v>876</v>
      </c>
      <c r="C150" s="49" t="s">
        <v>227</v>
      </c>
      <c r="D150" s="49" t="s">
        <v>527</v>
      </c>
      <c r="E150" s="49" t="s">
        <v>251</v>
      </c>
      <c r="F150" s="49"/>
      <c r="G150" s="49" t="s">
        <v>120</v>
      </c>
      <c r="H150" s="49">
        <v>123</v>
      </c>
      <c r="I150" s="94">
        <v>1230</v>
      </c>
      <c r="J150" s="49" t="s">
        <v>36</v>
      </c>
      <c r="K150" s="49" t="s">
        <v>37</v>
      </c>
    </row>
    <row r="151" spans="1:15" ht="15.75" customHeight="1">
      <c r="A151" s="49">
        <v>16</v>
      </c>
      <c r="B151" s="49" t="s">
        <v>2247</v>
      </c>
      <c r="C151" s="49" t="s">
        <v>246</v>
      </c>
      <c r="D151" s="49" t="s">
        <v>323</v>
      </c>
      <c r="E151" s="49" t="s">
        <v>232</v>
      </c>
      <c r="F151" s="49"/>
      <c r="G151" s="49" t="s">
        <v>35</v>
      </c>
      <c r="H151" s="49">
        <v>500</v>
      </c>
      <c r="I151" s="55"/>
      <c r="J151" s="49" t="s">
        <v>43</v>
      </c>
      <c r="K151" s="49" t="s">
        <v>37</v>
      </c>
    </row>
    <row r="152" spans="1:15" ht="15.75" customHeight="1">
      <c r="A152" s="49">
        <v>16</v>
      </c>
      <c r="B152" s="49" t="s">
        <v>2248</v>
      </c>
      <c r="C152" s="49" t="s">
        <v>227</v>
      </c>
      <c r="D152" s="49" t="s">
        <v>40</v>
      </c>
      <c r="E152" s="49" t="s">
        <v>232</v>
      </c>
      <c r="F152" s="49"/>
      <c r="G152" s="49" t="s">
        <v>35</v>
      </c>
      <c r="H152" s="49">
        <v>500</v>
      </c>
      <c r="I152" s="55"/>
      <c r="J152" s="49" t="s">
        <v>43</v>
      </c>
      <c r="K152" s="49" t="s">
        <v>37</v>
      </c>
    </row>
    <row r="153" spans="1:15" ht="15.75" customHeight="1">
      <c r="A153" s="49">
        <v>17</v>
      </c>
      <c r="B153" s="49" t="s">
        <v>2249</v>
      </c>
      <c r="C153" s="49" t="s">
        <v>227</v>
      </c>
      <c r="D153" s="49" t="s">
        <v>315</v>
      </c>
      <c r="E153" s="49" t="s">
        <v>48</v>
      </c>
      <c r="F153" s="49"/>
      <c r="G153" s="49" t="s">
        <v>35</v>
      </c>
      <c r="H153" s="49">
        <v>100</v>
      </c>
      <c r="I153" s="55">
        <v>20</v>
      </c>
      <c r="J153" s="49" t="s">
        <v>36</v>
      </c>
      <c r="K153" s="49" t="s">
        <v>37</v>
      </c>
    </row>
    <row r="154" spans="1:15" ht="15.75" customHeight="1">
      <c r="A154" s="49">
        <v>17</v>
      </c>
      <c r="B154" s="49" t="s">
        <v>2250</v>
      </c>
      <c r="C154" s="49" t="s">
        <v>246</v>
      </c>
      <c r="D154" s="49" t="s">
        <v>522</v>
      </c>
      <c r="E154" s="49" t="s">
        <v>307</v>
      </c>
      <c r="F154" s="49"/>
      <c r="G154" s="49" t="s">
        <v>35</v>
      </c>
      <c r="H154" s="50">
        <v>3000</v>
      </c>
      <c r="I154" s="55">
        <v>900</v>
      </c>
      <c r="J154" s="49" t="s">
        <v>36</v>
      </c>
      <c r="K154" s="49" t="s">
        <v>37</v>
      </c>
    </row>
    <row r="155" spans="1:15" ht="15.75" customHeight="1">
      <c r="A155" s="49">
        <v>17</v>
      </c>
      <c r="B155" s="49" t="s">
        <v>1403</v>
      </c>
      <c r="C155" s="49" t="s">
        <v>227</v>
      </c>
      <c r="D155" s="49" t="s">
        <v>819</v>
      </c>
      <c r="E155" s="49" t="s">
        <v>248</v>
      </c>
      <c r="F155" s="49"/>
      <c r="G155" s="49" t="s">
        <v>35</v>
      </c>
      <c r="H155" s="49">
        <v>500</v>
      </c>
      <c r="I155" s="55">
        <v>150</v>
      </c>
      <c r="J155" s="49" t="s">
        <v>36</v>
      </c>
      <c r="K155" s="49" t="s">
        <v>37</v>
      </c>
    </row>
    <row r="156" spans="1:15" ht="15.75" customHeight="1">
      <c r="A156" s="49">
        <v>17</v>
      </c>
      <c r="B156" s="49" t="s">
        <v>2217</v>
      </c>
      <c r="C156" s="49" t="s">
        <v>246</v>
      </c>
      <c r="D156" s="49" t="s">
        <v>358</v>
      </c>
      <c r="E156" s="49" t="s">
        <v>235</v>
      </c>
      <c r="F156" s="49"/>
      <c r="G156" s="49" t="s">
        <v>120</v>
      </c>
      <c r="H156" s="49">
        <v>40</v>
      </c>
      <c r="I156" s="55">
        <v>400</v>
      </c>
      <c r="J156" s="49" t="s">
        <v>36</v>
      </c>
      <c r="K156" s="49" t="s">
        <v>37</v>
      </c>
    </row>
    <row r="157" spans="1:15" ht="15.75" customHeight="1">
      <c r="A157" s="49">
        <v>17</v>
      </c>
      <c r="B157" s="49" t="s">
        <v>1107</v>
      </c>
      <c r="C157" s="49" t="s">
        <v>227</v>
      </c>
      <c r="D157" s="49" t="s">
        <v>604</v>
      </c>
      <c r="E157" s="49" t="s">
        <v>235</v>
      </c>
      <c r="F157" s="49"/>
      <c r="G157" s="49" t="s">
        <v>35</v>
      </c>
      <c r="H157" s="50">
        <v>5000</v>
      </c>
      <c r="I157" s="94">
        <v>1500</v>
      </c>
      <c r="J157" s="49" t="s">
        <v>36</v>
      </c>
      <c r="K157" s="49" t="s">
        <v>37</v>
      </c>
      <c r="O157" s="4"/>
    </row>
    <row r="158" spans="1:15" ht="15.75" customHeight="1">
      <c r="A158" s="49">
        <v>17</v>
      </c>
      <c r="B158" s="49" t="s">
        <v>2251</v>
      </c>
      <c r="C158" s="49" t="s">
        <v>227</v>
      </c>
      <c r="D158" s="49" t="s">
        <v>2252</v>
      </c>
      <c r="E158" s="49" t="s">
        <v>80</v>
      </c>
      <c r="F158" s="49"/>
      <c r="G158" s="49" t="s">
        <v>35</v>
      </c>
      <c r="H158" s="50">
        <v>7100</v>
      </c>
      <c r="I158" s="94">
        <v>1420</v>
      </c>
      <c r="J158" s="49" t="s">
        <v>36</v>
      </c>
      <c r="K158" s="49" t="s">
        <v>37</v>
      </c>
    </row>
    <row r="159" spans="1:15" ht="15.75" customHeight="1">
      <c r="A159" s="49">
        <v>17</v>
      </c>
      <c r="B159" s="49" t="s">
        <v>2251</v>
      </c>
      <c r="C159" s="49" t="s">
        <v>227</v>
      </c>
      <c r="D159" s="49" t="s">
        <v>2252</v>
      </c>
      <c r="E159" s="49" t="s">
        <v>80</v>
      </c>
      <c r="F159" s="49"/>
      <c r="G159" s="49" t="s">
        <v>35</v>
      </c>
      <c r="H159" s="50">
        <v>1200</v>
      </c>
      <c r="I159" s="55"/>
      <c r="J159" s="49" t="s">
        <v>43</v>
      </c>
      <c r="K159" s="49" t="s">
        <v>37</v>
      </c>
    </row>
    <row r="160" spans="1:15" ht="15.75" customHeight="1">
      <c r="A160" s="49">
        <v>17</v>
      </c>
      <c r="B160" s="49" t="s">
        <v>2253</v>
      </c>
      <c r="C160" s="49" t="s">
        <v>246</v>
      </c>
      <c r="D160" s="49" t="s">
        <v>2252</v>
      </c>
      <c r="E160" s="49" t="s">
        <v>80</v>
      </c>
      <c r="F160" s="49"/>
      <c r="G160" s="49" t="s">
        <v>35</v>
      </c>
      <c r="H160" s="49">
        <v>500</v>
      </c>
      <c r="I160" s="55"/>
      <c r="J160" s="49" t="s">
        <v>43</v>
      </c>
      <c r="K160" s="49" t="s">
        <v>37</v>
      </c>
    </row>
    <row r="161" spans="1:15" ht="15.75" customHeight="1">
      <c r="A161" s="49">
        <v>17</v>
      </c>
      <c r="B161" s="49" t="s">
        <v>2254</v>
      </c>
      <c r="C161" s="49" t="s">
        <v>227</v>
      </c>
      <c r="D161" s="49" t="s">
        <v>2252</v>
      </c>
      <c r="E161" s="49" t="s">
        <v>80</v>
      </c>
      <c r="F161" s="49"/>
      <c r="G161" s="49" t="s">
        <v>35</v>
      </c>
      <c r="H161" s="50">
        <v>1200</v>
      </c>
      <c r="I161" s="55"/>
      <c r="J161" s="49" t="s">
        <v>43</v>
      </c>
      <c r="K161" s="49" t="s">
        <v>37</v>
      </c>
    </row>
    <row r="162" spans="1:15" ht="15.75" customHeight="1">
      <c r="A162" s="49">
        <v>17</v>
      </c>
      <c r="B162" s="49" t="s">
        <v>2255</v>
      </c>
      <c r="C162" s="49" t="s">
        <v>227</v>
      </c>
      <c r="D162" s="49" t="s">
        <v>2256</v>
      </c>
      <c r="E162" s="49" t="s">
        <v>80</v>
      </c>
      <c r="F162" s="49"/>
      <c r="G162" s="49" t="s">
        <v>35</v>
      </c>
      <c r="H162" s="50">
        <v>1200</v>
      </c>
      <c r="I162" s="55"/>
      <c r="J162" s="49" t="s">
        <v>43</v>
      </c>
      <c r="K162" s="49" t="s">
        <v>37</v>
      </c>
    </row>
    <row r="163" spans="1:15" ht="15.75" customHeight="1">
      <c r="A163" s="49">
        <v>17</v>
      </c>
      <c r="B163" s="49" t="s">
        <v>2257</v>
      </c>
      <c r="C163" s="49" t="s">
        <v>227</v>
      </c>
      <c r="D163" s="49" t="s">
        <v>2256</v>
      </c>
      <c r="E163" s="49" t="s">
        <v>80</v>
      </c>
      <c r="F163" s="49"/>
      <c r="G163" s="49" t="s">
        <v>35</v>
      </c>
      <c r="H163" s="50">
        <v>1200</v>
      </c>
      <c r="I163" s="55"/>
      <c r="J163" s="49" t="s">
        <v>43</v>
      </c>
      <c r="K163" s="49" t="s">
        <v>37</v>
      </c>
    </row>
    <row r="164" spans="1:15" ht="15.75" customHeight="1">
      <c r="A164" s="49">
        <v>17</v>
      </c>
      <c r="B164" s="49" t="s">
        <v>2257</v>
      </c>
      <c r="C164" s="49" t="s">
        <v>227</v>
      </c>
      <c r="D164" s="49" t="s">
        <v>2256</v>
      </c>
      <c r="E164" s="49" t="s">
        <v>80</v>
      </c>
      <c r="F164" s="49"/>
      <c r="G164" s="49" t="s">
        <v>120</v>
      </c>
      <c r="H164" s="50">
        <v>20</v>
      </c>
      <c r="I164" s="55">
        <v>200</v>
      </c>
      <c r="J164" s="49" t="s">
        <v>36</v>
      </c>
      <c r="K164" s="49" t="s">
        <v>37</v>
      </c>
    </row>
    <row r="165" spans="1:15" ht="15.75" customHeight="1">
      <c r="A165" s="49">
        <v>18</v>
      </c>
      <c r="B165" s="49" t="s">
        <v>2258</v>
      </c>
      <c r="C165" s="49" t="s">
        <v>227</v>
      </c>
      <c r="D165" s="49" t="s">
        <v>330</v>
      </c>
      <c r="E165" s="49" t="s">
        <v>254</v>
      </c>
      <c r="F165" s="49"/>
      <c r="G165" s="49" t="s">
        <v>35</v>
      </c>
      <c r="H165" s="49">
        <v>600</v>
      </c>
      <c r="I165" s="55">
        <v>120</v>
      </c>
      <c r="J165" s="49" t="s">
        <v>36</v>
      </c>
      <c r="K165" s="49" t="s">
        <v>37</v>
      </c>
    </row>
    <row r="166" spans="1:15" ht="15.75" customHeight="1">
      <c r="A166" s="49">
        <v>18</v>
      </c>
      <c r="B166" s="49" t="s">
        <v>226</v>
      </c>
      <c r="C166" s="49" t="s">
        <v>227</v>
      </c>
      <c r="D166" s="49" t="s">
        <v>228</v>
      </c>
      <c r="E166" s="49" t="s">
        <v>229</v>
      </c>
      <c r="F166" s="49"/>
      <c r="G166" s="49" t="s">
        <v>35</v>
      </c>
      <c r="H166" s="50">
        <v>3000</v>
      </c>
      <c r="I166" s="55">
        <v>600</v>
      </c>
      <c r="J166" s="49" t="s">
        <v>36</v>
      </c>
      <c r="K166" s="49" t="s">
        <v>37</v>
      </c>
    </row>
    <row r="167" spans="1:15" ht="15.75" customHeight="1">
      <c r="A167" s="49">
        <v>18</v>
      </c>
      <c r="B167" s="49" t="s">
        <v>2259</v>
      </c>
      <c r="C167" s="49" t="s">
        <v>246</v>
      </c>
      <c r="D167" s="49" t="s">
        <v>2260</v>
      </c>
      <c r="E167" s="49" t="s">
        <v>89</v>
      </c>
      <c r="F167" s="49"/>
      <c r="G167" s="49" t="s">
        <v>120</v>
      </c>
      <c r="H167" s="49">
        <v>200</v>
      </c>
      <c r="I167" s="94">
        <v>2000</v>
      </c>
      <c r="J167" s="49" t="s">
        <v>36</v>
      </c>
      <c r="K167" s="49" t="s">
        <v>37</v>
      </c>
    </row>
    <row r="168" spans="1:15" ht="15.75" customHeight="1">
      <c r="A168" s="49">
        <v>19</v>
      </c>
      <c r="B168" s="49" t="s">
        <v>2261</v>
      </c>
      <c r="C168" s="49" t="s">
        <v>227</v>
      </c>
      <c r="D168" s="49" t="s">
        <v>198</v>
      </c>
      <c r="E168" s="49" t="s">
        <v>199</v>
      </c>
      <c r="F168" s="49"/>
      <c r="G168" s="49" t="s">
        <v>35</v>
      </c>
      <c r="H168" s="50">
        <v>1000</v>
      </c>
      <c r="I168" s="55">
        <v>300</v>
      </c>
      <c r="J168" s="49" t="s">
        <v>36</v>
      </c>
      <c r="K168" s="49" t="s">
        <v>37</v>
      </c>
    </row>
    <row r="169" spans="1:15" ht="15.75" customHeight="1">
      <c r="A169" s="101">
        <v>19</v>
      </c>
      <c r="B169" s="101" t="s">
        <v>2262</v>
      </c>
      <c r="C169" s="101" t="s">
        <v>227</v>
      </c>
      <c r="D169" s="101" t="s">
        <v>760</v>
      </c>
      <c r="E169" s="101" t="s">
        <v>241</v>
      </c>
      <c r="F169" s="101"/>
      <c r="G169" s="101" t="s">
        <v>35</v>
      </c>
      <c r="H169" s="101">
        <v>500</v>
      </c>
      <c r="I169" s="102">
        <v>100</v>
      </c>
      <c r="J169" s="101" t="s">
        <v>36</v>
      </c>
      <c r="K169" s="49" t="s">
        <v>37</v>
      </c>
    </row>
    <row r="170" spans="1:15" ht="15.75" customHeight="1">
      <c r="A170" s="103">
        <v>23</v>
      </c>
      <c r="B170" s="17" t="s">
        <v>2263</v>
      </c>
      <c r="C170" s="17" t="s">
        <v>246</v>
      </c>
      <c r="D170" s="17" t="s">
        <v>819</v>
      </c>
      <c r="E170" s="104" t="s">
        <v>232</v>
      </c>
      <c r="F170" s="17"/>
      <c r="G170" s="17" t="s">
        <v>120</v>
      </c>
      <c r="H170" s="17">
        <v>10</v>
      </c>
      <c r="I170" s="105">
        <v>200</v>
      </c>
      <c r="J170" s="49" t="s">
        <v>36</v>
      </c>
      <c r="K170" s="49" t="s">
        <v>37</v>
      </c>
    </row>
    <row r="171" spans="1:15" ht="15.75" customHeight="1">
      <c r="A171" s="103">
        <v>23</v>
      </c>
      <c r="B171" s="17" t="s">
        <v>2263</v>
      </c>
      <c r="C171" s="17" t="s">
        <v>246</v>
      </c>
      <c r="D171" s="17" t="s">
        <v>819</v>
      </c>
      <c r="E171" s="104" t="s">
        <v>232</v>
      </c>
      <c r="F171" s="49"/>
      <c r="G171" s="49" t="s">
        <v>120</v>
      </c>
      <c r="H171" s="49">
        <v>20</v>
      </c>
      <c r="I171" s="55">
        <v>200</v>
      </c>
      <c r="J171" s="49" t="s">
        <v>36</v>
      </c>
      <c r="K171" s="49" t="s">
        <v>37</v>
      </c>
      <c r="L171" s="106" t="s">
        <v>2264</v>
      </c>
      <c r="M171" s="3">
        <v>4</v>
      </c>
    </row>
    <row r="172" spans="1:15" ht="15.75" customHeight="1">
      <c r="A172" s="49">
        <v>23</v>
      </c>
      <c r="B172" s="49" t="s">
        <v>2207</v>
      </c>
      <c r="C172" s="49" t="s">
        <v>227</v>
      </c>
      <c r="D172" s="49" t="s">
        <v>522</v>
      </c>
      <c r="E172" s="107" t="s">
        <v>307</v>
      </c>
      <c r="F172" s="49"/>
      <c r="G172" s="49" t="s">
        <v>120</v>
      </c>
      <c r="H172" s="49">
        <v>6</v>
      </c>
      <c r="I172" s="55">
        <v>120</v>
      </c>
      <c r="J172" s="49" t="s">
        <v>36</v>
      </c>
      <c r="K172" s="49" t="s">
        <v>37</v>
      </c>
      <c r="L172" s="108" t="s">
        <v>2265</v>
      </c>
      <c r="M172" s="3">
        <v>30</v>
      </c>
    </row>
    <row r="173" spans="1:15" ht="15.75" customHeight="1">
      <c r="A173" s="49">
        <v>23</v>
      </c>
      <c r="B173" s="49" t="s">
        <v>2207</v>
      </c>
      <c r="C173" s="49" t="s">
        <v>227</v>
      </c>
      <c r="D173" s="49" t="s">
        <v>522</v>
      </c>
      <c r="E173" s="107" t="s">
        <v>307</v>
      </c>
      <c r="F173" s="49"/>
      <c r="G173" s="49" t="s">
        <v>120</v>
      </c>
      <c r="H173" s="49">
        <v>10</v>
      </c>
      <c r="I173" s="55">
        <v>100</v>
      </c>
      <c r="J173" s="49" t="s">
        <v>36</v>
      </c>
      <c r="K173" s="49" t="s">
        <v>37</v>
      </c>
      <c r="L173" s="109" t="s">
        <v>2266</v>
      </c>
      <c r="M173" s="3">
        <v>21</v>
      </c>
      <c r="N173" s="110" t="s">
        <v>2267</v>
      </c>
    </row>
    <row r="174" spans="1:15" ht="15.75" customHeight="1">
      <c r="A174" s="49">
        <v>23</v>
      </c>
      <c r="B174" s="49" t="s">
        <v>2268</v>
      </c>
      <c r="C174" s="49" t="s">
        <v>227</v>
      </c>
      <c r="D174" s="49" t="s">
        <v>490</v>
      </c>
      <c r="E174" s="107" t="s">
        <v>251</v>
      </c>
      <c r="F174" s="49"/>
      <c r="G174" s="49" t="s">
        <v>120</v>
      </c>
      <c r="H174" s="49">
        <v>20</v>
      </c>
      <c r="I174" s="55">
        <v>400</v>
      </c>
      <c r="J174" s="49" t="s">
        <v>36</v>
      </c>
      <c r="K174" s="49" t="s">
        <v>37</v>
      </c>
      <c r="L174" s="61" t="s">
        <v>1884</v>
      </c>
      <c r="M174" s="3">
        <v>2</v>
      </c>
      <c r="N174" s="61" t="s">
        <v>2269</v>
      </c>
    </row>
    <row r="175" spans="1:15" ht="15.75" customHeight="1">
      <c r="A175" s="49">
        <v>23</v>
      </c>
      <c r="B175" s="49" t="s">
        <v>2268</v>
      </c>
      <c r="C175" s="49" t="s">
        <v>227</v>
      </c>
      <c r="D175" s="49" t="s">
        <v>490</v>
      </c>
      <c r="E175" s="107" t="s">
        <v>251</v>
      </c>
      <c r="F175" s="49"/>
      <c r="G175" s="49" t="s">
        <v>120</v>
      </c>
      <c r="H175" s="49">
        <v>10</v>
      </c>
      <c r="I175" s="55">
        <v>100</v>
      </c>
      <c r="J175" s="49" t="s">
        <v>36</v>
      </c>
      <c r="K175" s="49" t="s">
        <v>37</v>
      </c>
      <c r="N175" s="61">
        <f>H170+H171+H172+H173+H174+H175+H177+H178+H179+H181+H182+H185+H186+H187+H190+H192+H199+H200+H202+H205+H206+H207+H209+H214+H218</f>
        <v>353</v>
      </c>
      <c r="O175" s="61" t="s">
        <v>2270</v>
      </c>
    </row>
    <row r="176" spans="1:15" ht="15.75" customHeight="1">
      <c r="A176" s="49">
        <v>23</v>
      </c>
      <c r="B176" s="49" t="s">
        <v>2271</v>
      </c>
      <c r="C176" s="49" t="s">
        <v>227</v>
      </c>
      <c r="D176" s="49" t="s">
        <v>679</v>
      </c>
      <c r="E176" s="111" t="s">
        <v>232</v>
      </c>
      <c r="F176" s="49"/>
      <c r="G176" s="49" t="s">
        <v>35</v>
      </c>
      <c r="H176" s="49">
        <v>500</v>
      </c>
      <c r="I176" s="55"/>
      <c r="J176" s="49" t="s">
        <v>43</v>
      </c>
      <c r="K176" s="49" t="s">
        <v>37</v>
      </c>
      <c r="L176" s="30" t="s">
        <v>246</v>
      </c>
      <c r="M176" s="3">
        <v>7</v>
      </c>
      <c r="O176" s="4"/>
    </row>
    <row r="177" spans="1:17" ht="15.75" customHeight="1">
      <c r="A177" s="49">
        <v>23</v>
      </c>
      <c r="B177" s="49" t="s">
        <v>2271</v>
      </c>
      <c r="C177" s="49" t="s">
        <v>227</v>
      </c>
      <c r="D177" s="49" t="s">
        <v>679</v>
      </c>
      <c r="E177" s="111" t="s">
        <v>232</v>
      </c>
      <c r="F177" s="49"/>
      <c r="G177" s="49" t="s">
        <v>120</v>
      </c>
      <c r="H177" s="49">
        <v>4</v>
      </c>
      <c r="I177" s="55">
        <v>80</v>
      </c>
      <c r="J177" s="49" t="s">
        <v>36</v>
      </c>
      <c r="K177" s="49" t="s">
        <v>37</v>
      </c>
      <c r="L177" s="61" t="s">
        <v>227</v>
      </c>
      <c r="M177" s="3">
        <v>48</v>
      </c>
      <c r="N177" s="61" t="s">
        <v>2272</v>
      </c>
    </row>
    <row r="178" spans="1:17" ht="15.75" customHeight="1">
      <c r="A178" s="49">
        <v>23</v>
      </c>
      <c r="B178" s="49" t="s">
        <v>2271</v>
      </c>
      <c r="C178" s="49" t="s">
        <v>227</v>
      </c>
      <c r="D178" s="49" t="s">
        <v>679</v>
      </c>
      <c r="E178" s="111" t="s">
        <v>232</v>
      </c>
      <c r="F178" s="49"/>
      <c r="G178" s="49" t="s">
        <v>120</v>
      </c>
      <c r="H178" s="49">
        <v>2</v>
      </c>
      <c r="I178" s="55">
        <v>20</v>
      </c>
      <c r="J178" s="49" t="s">
        <v>36</v>
      </c>
      <c r="K178" s="49" t="s">
        <v>37</v>
      </c>
      <c r="N178" s="4">
        <f>H183+H188+H189+H191+H193+H195+H197+H201+H203+H204+H208+H210+H211+H213+H215+H216+H217+H219+H220+H222+H223</f>
        <v>45050</v>
      </c>
      <c r="O178" s="61" t="s">
        <v>2270</v>
      </c>
    </row>
    <row r="179" spans="1:17" ht="15.75" customHeight="1">
      <c r="A179" s="49">
        <v>23</v>
      </c>
      <c r="B179" s="49" t="s">
        <v>2273</v>
      </c>
      <c r="C179" s="49" t="s">
        <v>227</v>
      </c>
      <c r="D179" s="49" t="s">
        <v>396</v>
      </c>
      <c r="E179" s="107" t="s">
        <v>251</v>
      </c>
      <c r="F179" s="49"/>
      <c r="G179" s="49" t="s">
        <v>242</v>
      </c>
      <c r="H179" s="49">
        <v>20</v>
      </c>
      <c r="I179" s="55">
        <v>60</v>
      </c>
      <c r="J179" s="49" t="s">
        <v>36</v>
      </c>
      <c r="K179" s="49" t="s">
        <v>37</v>
      </c>
      <c r="N179" s="61">
        <f>H176+H180+H184+H194+H196+H198+H212+H221</f>
        <v>4000</v>
      </c>
      <c r="O179" s="61" t="s">
        <v>2274</v>
      </c>
    </row>
    <row r="180" spans="1:17" ht="15.75" customHeight="1">
      <c r="A180" s="49">
        <v>23</v>
      </c>
      <c r="B180" s="49" t="s">
        <v>2275</v>
      </c>
      <c r="C180" s="49" t="s">
        <v>227</v>
      </c>
      <c r="D180" s="49" t="s">
        <v>760</v>
      </c>
      <c r="E180" s="107" t="s">
        <v>241</v>
      </c>
      <c r="F180" s="49"/>
      <c r="G180" s="49" t="s">
        <v>35</v>
      </c>
      <c r="H180" s="49">
        <v>500</v>
      </c>
      <c r="I180" s="55"/>
      <c r="J180" s="49" t="s">
        <v>43</v>
      </c>
      <c r="K180" s="49" t="s">
        <v>37</v>
      </c>
    </row>
    <row r="181" spans="1:17" ht="15.75" customHeight="1">
      <c r="A181" s="49">
        <v>23</v>
      </c>
      <c r="B181" s="49" t="s">
        <v>2275</v>
      </c>
      <c r="C181" s="49" t="s">
        <v>227</v>
      </c>
      <c r="D181" s="49" t="s">
        <v>760</v>
      </c>
      <c r="E181" s="107" t="s">
        <v>241</v>
      </c>
      <c r="F181" s="49"/>
      <c r="G181" s="49" t="s">
        <v>120</v>
      </c>
      <c r="H181" s="49">
        <v>20</v>
      </c>
      <c r="I181" s="55">
        <v>200</v>
      </c>
      <c r="J181" s="49" t="s">
        <v>36</v>
      </c>
      <c r="K181" s="49" t="s">
        <v>37</v>
      </c>
    </row>
    <row r="182" spans="1:17" ht="15.75" customHeight="1">
      <c r="A182" s="49">
        <v>23</v>
      </c>
      <c r="B182" s="49" t="s">
        <v>2275</v>
      </c>
      <c r="C182" s="49" t="s">
        <v>227</v>
      </c>
      <c r="D182" s="49" t="s">
        <v>760</v>
      </c>
      <c r="E182" s="107" t="s">
        <v>241</v>
      </c>
      <c r="F182" s="49"/>
      <c r="G182" s="49" t="s">
        <v>242</v>
      </c>
      <c r="H182" s="49">
        <v>20</v>
      </c>
      <c r="I182" s="55">
        <v>60</v>
      </c>
      <c r="J182" s="49" t="s">
        <v>36</v>
      </c>
      <c r="K182" s="49" t="s">
        <v>37</v>
      </c>
    </row>
    <row r="183" spans="1:17" ht="15.75" customHeight="1">
      <c r="A183" s="49">
        <v>23</v>
      </c>
      <c r="B183" s="49" t="s">
        <v>1493</v>
      </c>
      <c r="C183" s="49" t="s">
        <v>227</v>
      </c>
      <c r="D183" s="49" t="s">
        <v>1705</v>
      </c>
      <c r="E183" s="107" t="s">
        <v>193</v>
      </c>
      <c r="F183" s="49"/>
      <c r="G183" s="49" t="s">
        <v>35</v>
      </c>
      <c r="H183" s="50">
        <v>4000</v>
      </c>
      <c r="I183" s="55">
        <v>800</v>
      </c>
      <c r="J183" s="49" t="s">
        <v>36</v>
      </c>
      <c r="K183" s="49" t="s">
        <v>37</v>
      </c>
      <c r="Q183" s="4"/>
    </row>
    <row r="184" spans="1:17" ht="15.75" customHeight="1">
      <c r="A184" s="49">
        <v>23</v>
      </c>
      <c r="B184" s="49" t="s">
        <v>2276</v>
      </c>
      <c r="C184" s="49" t="s">
        <v>227</v>
      </c>
      <c r="D184" s="49" t="s">
        <v>231</v>
      </c>
      <c r="E184" s="111" t="s">
        <v>232</v>
      </c>
      <c r="F184" s="49"/>
      <c r="G184" s="49" t="s">
        <v>35</v>
      </c>
      <c r="H184" s="49">
        <v>500</v>
      </c>
      <c r="I184" s="55"/>
      <c r="J184" s="49" t="s">
        <v>43</v>
      </c>
      <c r="K184" s="49" t="s">
        <v>37</v>
      </c>
      <c r="O184" s="4"/>
    </row>
    <row r="185" spans="1:17" ht="15.75" customHeight="1">
      <c r="A185" s="49">
        <v>23</v>
      </c>
      <c r="B185" s="49" t="s">
        <v>1105</v>
      </c>
      <c r="C185" s="49" t="s">
        <v>227</v>
      </c>
      <c r="D185" s="49" t="s">
        <v>382</v>
      </c>
      <c r="E185" s="112" t="s">
        <v>48</v>
      </c>
      <c r="F185" s="49"/>
      <c r="G185" s="49" t="s">
        <v>120</v>
      </c>
      <c r="H185" s="49">
        <v>15</v>
      </c>
      <c r="I185" s="55">
        <v>150</v>
      </c>
      <c r="J185" s="49" t="s">
        <v>36</v>
      </c>
      <c r="K185" s="49" t="s">
        <v>37</v>
      </c>
    </row>
    <row r="186" spans="1:17" ht="15.75" customHeight="1">
      <c r="A186" s="49">
        <v>23</v>
      </c>
      <c r="B186" s="49" t="s">
        <v>2277</v>
      </c>
      <c r="C186" s="49" t="s">
        <v>246</v>
      </c>
      <c r="D186" s="49" t="s">
        <v>375</v>
      </c>
      <c r="E186" s="107" t="s">
        <v>235</v>
      </c>
      <c r="F186" s="49"/>
      <c r="G186" s="49" t="s">
        <v>120</v>
      </c>
      <c r="H186" s="49">
        <v>5</v>
      </c>
      <c r="I186" s="55">
        <v>100</v>
      </c>
      <c r="J186" s="49" t="s">
        <v>36</v>
      </c>
      <c r="K186" s="49" t="s">
        <v>37</v>
      </c>
    </row>
    <row r="187" spans="1:17" ht="15.75" customHeight="1">
      <c r="A187" s="49">
        <v>23</v>
      </c>
      <c r="B187" s="49" t="s">
        <v>2277</v>
      </c>
      <c r="C187" s="49" t="s">
        <v>246</v>
      </c>
      <c r="D187" s="49" t="s">
        <v>375</v>
      </c>
      <c r="E187" s="107" t="s">
        <v>235</v>
      </c>
      <c r="F187" s="49"/>
      <c r="G187" s="49" t="s">
        <v>120</v>
      </c>
      <c r="H187" s="49">
        <v>9</v>
      </c>
      <c r="I187" s="55">
        <v>90</v>
      </c>
      <c r="J187" s="49" t="s">
        <v>36</v>
      </c>
      <c r="K187" s="49" t="s">
        <v>37</v>
      </c>
    </row>
    <row r="188" spans="1:17" ht="15.75" customHeight="1">
      <c r="A188" s="49">
        <v>23</v>
      </c>
      <c r="B188" s="49" t="s">
        <v>1609</v>
      </c>
      <c r="C188" s="49" t="s">
        <v>227</v>
      </c>
      <c r="D188" s="49" t="s">
        <v>679</v>
      </c>
      <c r="E188" s="111" t="s">
        <v>232</v>
      </c>
      <c r="F188" s="49"/>
      <c r="G188" s="49" t="s">
        <v>35</v>
      </c>
      <c r="H188" s="50">
        <v>5000</v>
      </c>
      <c r="I188" s="94">
        <v>1000</v>
      </c>
      <c r="J188" s="49" t="s">
        <v>36</v>
      </c>
      <c r="K188" s="49" t="s">
        <v>37</v>
      </c>
      <c r="O188" s="4"/>
    </row>
    <row r="189" spans="1:17" ht="15.75" customHeight="1">
      <c r="A189" s="49">
        <v>23</v>
      </c>
      <c r="B189" s="49" t="s">
        <v>2278</v>
      </c>
      <c r="C189" s="49" t="s">
        <v>227</v>
      </c>
      <c r="D189" s="49" t="s">
        <v>604</v>
      </c>
      <c r="E189" s="107" t="s">
        <v>235</v>
      </c>
      <c r="F189" s="49"/>
      <c r="G189" s="49" t="s">
        <v>35</v>
      </c>
      <c r="H189" s="50">
        <v>6200</v>
      </c>
      <c r="I189" s="94">
        <v>1860</v>
      </c>
      <c r="J189" s="49" t="s">
        <v>36</v>
      </c>
      <c r="K189" s="49" t="s">
        <v>37</v>
      </c>
      <c r="O189" s="4"/>
    </row>
    <row r="190" spans="1:17" ht="15.75" customHeight="1">
      <c r="A190" s="49">
        <v>23</v>
      </c>
      <c r="B190" s="49" t="s">
        <v>2279</v>
      </c>
      <c r="C190" s="49" t="s">
        <v>227</v>
      </c>
      <c r="D190" s="49" t="s">
        <v>247</v>
      </c>
      <c r="E190" s="107" t="s">
        <v>307</v>
      </c>
      <c r="F190" s="49"/>
      <c r="G190" s="49" t="s">
        <v>120</v>
      </c>
      <c r="H190" s="49">
        <v>5</v>
      </c>
      <c r="I190" s="55">
        <v>50</v>
      </c>
      <c r="J190" s="49" t="s">
        <v>36</v>
      </c>
      <c r="K190" s="49" t="s">
        <v>37</v>
      </c>
    </row>
    <row r="191" spans="1:17" ht="15.75" customHeight="1">
      <c r="A191" s="49">
        <v>23</v>
      </c>
      <c r="B191" s="49" t="s">
        <v>2280</v>
      </c>
      <c r="C191" s="49" t="s">
        <v>227</v>
      </c>
      <c r="D191" s="49" t="s">
        <v>607</v>
      </c>
      <c r="E191" s="107" t="s">
        <v>235</v>
      </c>
      <c r="F191" s="49"/>
      <c r="G191" s="49" t="s">
        <v>35</v>
      </c>
      <c r="H191" s="49">
        <v>50</v>
      </c>
      <c r="I191" s="55">
        <v>20</v>
      </c>
      <c r="J191" s="49" t="s">
        <v>36</v>
      </c>
      <c r="K191" s="49" t="s">
        <v>37</v>
      </c>
    </row>
    <row r="192" spans="1:17" ht="15.75" customHeight="1">
      <c r="A192" s="49">
        <v>23</v>
      </c>
      <c r="B192" s="49" t="s">
        <v>2280</v>
      </c>
      <c r="C192" s="49" t="s">
        <v>227</v>
      </c>
      <c r="D192" s="49" t="s">
        <v>607</v>
      </c>
      <c r="E192" s="107" t="s">
        <v>235</v>
      </c>
      <c r="F192" s="49"/>
      <c r="G192" s="49" t="s">
        <v>120</v>
      </c>
      <c r="H192" s="49">
        <v>15</v>
      </c>
      <c r="I192" s="55">
        <v>150</v>
      </c>
      <c r="J192" s="49" t="s">
        <v>36</v>
      </c>
      <c r="K192" s="49" t="s">
        <v>37</v>
      </c>
    </row>
    <row r="193" spans="1:11" ht="15.75" customHeight="1">
      <c r="A193" s="49">
        <v>23</v>
      </c>
      <c r="B193" s="49" t="s">
        <v>1266</v>
      </c>
      <c r="C193" s="49" t="s">
        <v>227</v>
      </c>
      <c r="D193" s="49" t="s">
        <v>2242</v>
      </c>
      <c r="E193" s="111" t="s">
        <v>232</v>
      </c>
      <c r="F193" s="49"/>
      <c r="G193" s="49" t="s">
        <v>35</v>
      </c>
      <c r="H193" s="49">
        <v>500</v>
      </c>
      <c r="I193" s="55">
        <v>100</v>
      </c>
      <c r="J193" s="49" t="s">
        <v>36</v>
      </c>
      <c r="K193" s="49" t="s">
        <v>37</v>
      </c>
    </row>
    <row r="194" spans="1:11" ht="15.75" customHeight="1">
      <c r="A194" s="49">
        <v>23</v>
      </c>
      <c r="B194" s="49" t="s">
        <v>1266</v>
      </c>
      <c r="C194" s="49" t="s">
        <v>227</v>
      </c>
      <c r="D194" s="49" t="s">
        <v>2242</v>
      </c>
      <c r="E194" s="111" t="s">
        <v>232</v>
      </c>
      <c r="F194" s="49"/>
      <c r="G194" s="49" t="s">
        <v>35</v>
      </c>
      <c r="H194" s="49">
        <v>500</v>
      </c>
      <c r="I194" s="55"/>
      <c r="J194" s="49" t="s">
        <v>43</v>
      </c>
      <c r="K194" s="49" t="s">
        <v>37</v>
      </c>
    </row>
    <row r="195" spans="1:11" ht="15.75" customHeight="1">
      <c r="A195" s="49">
        <v>23</v>
      </c>
      <c r="B195" s="49" t="s">
        <v>2281</v>
      </c>
      <c r="C195" s="49" t="s">
        <v>227</v>
      </c>
      <c r="D195" s="49" t="s">
        <v>2242</v>
      </c>
      <c r="E195" s="111" t="s">
        <v>232</v>
      </c>
      <c r="F195" s="49"/>
      <c r="G195" s="49" t="s">
        <v>35</v>
      </c>
      <c r="H195" s="49">
        <v>500</v>
      </c>
      <c r="I195" s="55">
        <v>100</v>
      </c>
      <c r="J195" s="49" t="s">
        <v>36</v>
      </c>
      <c r="K195" s="49" t="s">
        <v>37</v>
      </c>
    </row>
    <row r="196" spans="1:11" ht="15.75" customHeight="1">
      <c r="A196" s="49">
        <v>23</v>
      </c>
      <c r="B196" s="49" t="s">
        <v>2281</v>
      </c>
      <c r="C196" s="49" t="s">
        <v>227</v>
      </c>
      <c r="D196" s="49" t="s">
        <v>2242</v>
      </c>
      <c r="E196" s="111" t="s">
        <v>232</v>
      </c>
      <c r="F196" s="49"/>
      <c r="G196" s="49" t="s">
        <v>35</v>
      </c>
      <c r="H196" s="49">
        <v>500</v>
      </c>
      <c r="I196" s="55"/>
      <c r="J196" s="49" t="s">
        <v>43</v>
      </c>
      <c r="K196" s="49" t="s">
        <v>37</v>
      </c>
    </row>
    <row r="197" spans="1:11" ht="15.75" customHeight="1">
      <c r="A197" s="49">
        <v>23</v>
      </c>
      <c r="B197" s="49" t="s">
        <v>1265</v>
      </c>
      <c r="C197" s="49" t="s">
        <v>227</v>
      </c>
      <c r="D197" s="49" t="s">
        <v>2242</v>
      </c>
      <c r="E197" s="111" t="s">
        <v>232</v>
      </c>
      <c r="F197" s="49"/>
      <c r="G197" s="49" t="s">
        <v>35</v>
      </c>
      <c r="H197" s="49">
        <v>500</v>
      </c>
      <c r="I197" s="55">
        <v>100</v>
      </c>
      <c r="J197" s="49" t="s">
        <v>36</v>
      </c>
      <c r="K197" s="49" t="s">
        <v>37</v>
      </c>
    </row>
    <row r="198" spans="1:11" ht="15.75" customHeight="1">
      <c r="A198" s="49">
        <v>23</v>
      </c>
      <c r="B198" s="49" t="s">
        <v>1265</v>
      </c>
      <c r="C198" s="49" t="s">
        <v>227</v>
      </c>
      <c r="D198" s="49" t="s">
        <v>2242</v>
      </c>
      <c r="E198" s="111" t="s">
        <v>232</v>
      </c>
      <c r="F198" s="49"/>
      <c r="G198" s="49" t="s">
        <v>35</v>
      </c>
      <c r="H198" s="49">
        <v>500</v>
      </c>
      <c r="I198" s="55"/>
      <c r="J198" s="49" t="s">
        <v>43</v>
      </c>
      <c r="K198" s="49" t="s">
        <v>37</v>
      </c>
    </row>
    <row r="199" spans="1:11" ht="15.75" customHeight="1">
      <c r="A199" s="49">
        <v>23</v>
      </c>
      <c r="B199" s="49" t="s">
        <v>1265</v>
      </c>
      <c r="C199" s="49" t="s">
        <v>227</v>
      </c>
      <c r="D199" s="49" t="s">
        <v>2242</v>
      </c>
      <c r="E199" s="111" t="s">
        <v>232</v>
      </c>
      <c r="F199" s="49"/>
      <c r="G199" s="49" t="s">
        <v>120</v>
      </c>
      <c r="H199" s="49">
        <v>20</v>
      </c>
      <c r="I199" s="55">
        <v>200</v>
      </c>
      <c r="J199" s="49" t="s">
        <v>36</v>
      </c>
      <c r="K199" s="49" t="s">
        <v>37</v>
      </c>
    </row>
    <row r="200" spans="1:11" ht="15.75" customHeight="1">
      <c r="A200" s="49">
        <v>23</v>
      </c>
      <c r="B200" s="49" t="s">
        <v>1265</v>
      </c>
      <c r="C200" s="49" t="s">
        <v>227</v>
      </c>
      <c r="D200" s="49" t="s">
        <v>2242</v>
      </c>
      <c r="E200" s="111" t="s">
        <v>232</v>
      </c>
      <c r="F200" s="49"/>
      <c r="G200" s="49" t="s">
        <v>242</v>
      </c>
      <c r="H200" s="49">
        <v>40</v>
      </c>
      <c r="I200" s="55">
        <v>120</v>
      </c>
      <c r="J200" s="49" t="s">
        <v>36</v>
      </c>
      <c r="K200" s="49" t="s">
        <v>37</v>
      </c>
    </row>
    <row r="201" spans="1:11" ht="15.75" customHeight="1">
      <c r="A201" s="49">
        <v>23</v>
      </c>
      <c r="B201" s="49" t="s">
        <v>2282</v>
      </c>
      <c r="C201" s="49" t="s">
        <v>227</v>
      </c>
      <c r="D201" s="49" t="s">
        <v>234</v>
      </c>
      <c r="E201" s="107" t="s">
        <v>235</v>
      </c>
      <c r="F201" s="49"/>
      <c r="G201" s="49" t="s">
        <v>35</v>
      </c>
      <c r="H201" s="49">
        <v>250</v>
      </c>
      <c r="I201" s="55">
        <v>50</v>
      </c>
      <c r="J201" s="49" t="s">
        <v>36</v>
      </c>
      <c r="K201" s="49" t="s">
        <v>37</v>
      </c>
    </row>
    <row r="202" spans="1:11" ht="15.75" customHeight="1">
      <c r="A202" s="49">
        <v>23</v>
      </c>
      <c r="B202" s="49" t="s">
        <v>2282</v>
      </c>
      <c r="C202" s="49" t="s">
        <v>227</v>
      </c>
      <c r="D202" s="49" t="s">
        <v>234</v>
      </c>
      <c r="E202" s="107" t="s">
        <v>235</v>
      </c>
      <c r="F202" s="49"/>
      <c r="G202" s="49" t="s">
        <v>120</v>
      </c>
      <c r="H202" s="49">
        <v>5</v>
      </c>
      <c r="I202" s="55">
        <v>50</v>
      </c>
      <c r="J202" s="49" t="s">
        <v>36</v>
      </c>
      <c r="K202" s="49" t="s">
        <v>37</v>
      </c>
    </row>
    <row r="203" spans="1:11" ht="15.75" customHeight="1">
      <c r="A203" s="49">
        <v>23</v>
      </c>
      <c r="B203" s="49" t="s">
        <v>2283</v>
      </c>
      <c r="C203" s="49" t="s">
        <v>227</v>
      </c>
      <c r="D203" s="49" t="s">
        <v>763</v>
      </c>
      <c r="E203" s="107" t="s">
        <v>235</v>
      </c>
      <c r="F203" s="49"/>
      <c r="G203" s="49" t="s">
        <v>35</v>
      </c>
      <c r="H203" s="49">
        <v>300</v>
      </c>
      <c r="I203" s="55">
        <v>90</v>
      </c>
      <c r="J203" s="49" t="s">
        <v>36</v>
      </c>
      <c r="K203" s="49" t="s">
        <v>37</v>
      </c>
    </row>
    <row r="204" spans="1:11" ht="15.75" customHeight="1">
      <c r="A204" s="49">
        <v>23</v>
      </c>
      <c r="B204" s="49" t="s">
        <v>2284</v>
      </c>
      <c r="C204" s="49" t="s">
        <v>227</v>
      </c>
      <c r="D204" s="49" t="s">
        <v>556</v>
      </c>
      <c r="E204" s="111" t="s">
        <v>232</v>
      </c>
      <c r="F204" s="49"/>
      <c r="G204" s="49" t="s">
        <v>35</v>
      </c>
      <c r="H204" s="50">
        <v>2000</v>
      </c>
      <c r="I204" s="55">
        <v>400</v>
      </c>
      <c r="J204" s="49" t="s">
        <v>36</v>
      </c>
      <c r="K204" s="49" t="s">
        <v>37</v>
      </c>
    </row>
    <row r="205" spans="1:11" ht="15.75" customHeight="1">
      <c r="A205" s="49">
        <v>23</v>
      </c>
      <c r="B205" s="49" t="s">
        <v>2284</v>
      </c>
      <c r="C205" s="49" t="s">
        <v>227</v>
      </c>
      <c r="D205" s="49" t="s">
        <v>556</v>
      </c>
      <c r="E205" s="111" t="s">
        <v>232</v>
      </c>
      <c r="F205" s="49"/>
      <c r="G205" s="49" t="s">
        <v>120</v>
      </c>
      <c r="H205" s="49">
        <v>20</v>
      </c>
      <c r="I205" s="55">
        <v>200</v>
      </c>
      <c r="J205" s="49" t="s">
        <v>36</v>
      </c>
      <c r="K205" s="49" t="s">
        <v>37</v>
      </c>
    </row>
    <row r="206" spans="1:11" ht="15.75" customHeight="1">
      <c r="A206" s="49">
        <v>23</v>
      </c>
      <c r="B206" s="49" t="s">
        <v>2285</v>
      </c>
      <c r="C206" s="49" t="s">
        <v>227</v>
      </c>
      <c r="D206" s="49" t="s">
        <v>234</v>
      </c>
      <c r="E206" s="107" t="s">
        <v>235</v>
      </c>
      <c r="F206" s="49"/>
      <c r="G206" s="49" t="s">
        <v>120</v>
      </c>
      <c r="H206" s="49">
        <v>10</v>
      </c>
      <c r="I206" s="55">
        <v>200</v>
      </c>
      <c r="J206" s="49" t="s">
        <v>36</v>
      </c>
      <c r="K206" s="49" t="s">
        <v>37</v>
      </c>
    </row>
    <row r="207" spans="1:11" ht="15.75" customHeight="1">
      <c r="A207" s="49">
        <v>23</v>
      </c>
      <c r="B207" s="49" t="s">
        <v>2285</v>
      </c>
      <c r="C207" s="49" t="s">
        <v>227</v>
      </c>
      <c r="D207" s="49" t="s">
        <v>234</v>
      </c>
      <c r="E207" s="107" t="s">
        <v>235</v>
      </c>
      <c r="F207" s="49"/>
      <c r="G207" s="49" t="s">
        <v>120</v>
      </c>
      <c r="H207" s="49">
        <v>10</v>
      </c>
      <c r="I207" s="55">
        <v>100</v>
      </c>
      <c r="J207" s="49" t="s">
        <v>36</v>
      </c>
      <c r="K207" s="49" t="s">
        <v>37</v>
      </c>
    </row>
    <row r="208" spans="1:11" ht="15.75" customHeight="1">
      <c r="A208" s="49">
        <v>23</v>
      </c>
      <c r="B208" s="49" t="s">
        <v>2286</v>
      </c>
      <c r="C208" s="49" t="s">
        <v>246</v>
      </c>
      <c r="D208" s="49" t="s">
        <v>237</v>
      </c>
      <c r="E208" s="111" t="s">
        <v>507</v>
      </c>
      <c r="F208" s="49"/>
      <c r="G208" s="49" t="s">
        <v>35</v>
      </c>
      <c r="H208" s="50">
        <v>2500</v>
      </c>
      <c r="I208" s="55">
        <v>500</v>
      </c>
      <c r="J208" s="49" t="s">
        <v>36</v>
      </c>
      <c r="K208" s="49" t="s">
        <v>37</v>
      </c>
    </row>
    <row r="209" spans="1:26" ht="15.75" customHeight="1">
      <c r="A209" s="49">
        <v>23</v>
      </c>
      <c r="B209" s="49" t="s">
        <v>2286</v>
      </c>
      <c r="C209" s="49" t="s">
        <v>246</v>
      </c>
      <c r="D209" s="49" t="s">
        <v>237</v>
      </c>
      <c r="E209" s="111" t="s">
        <v>507</v>
      </c>
      <c r="F209" s="49"/>
      <c r="G209" s="49" t="s">
        <v>120</v>
      </c>
      <c r="H209" s="49">
        <v>7</v>
      </c>
      <c r="I209" s="55">
        <v>70</v>
      </c>
      <c r="J209" s="49" t="s">
        <v>36</v>
      </c>
      <c r="K209" s="49" t="s">
        <v>37</v>
      </c>
    </row>
    <row r="210" spans="1:26" ht="15.75" customHeight="1">
      <c r="A210" s="49">
        <v>23</v>
      </c>
      <c r="B210" s="49" t="s">
        <v>2287</v>
      </c>
      <c r="C210" s="49" t="s">
        <v>227</v>
      </c>
      <c r="D210" s="49" t="s">
        <v>2288</v>
      </c>
      <c r="E210" s="107" t="s">
        <v>251</v>
      </c>
      <c r="F210" s="49"/>
      <c r="G210" s="49" t="s">
        <v>35</v>
      </c>
      <c r="H210" s="49">
        <v>100</v>
      </c>
      <c r="I210" s="55">
        <v>30</v>
      </c>
      <c r="J210" s="49" t="s">
        <v>36</v>
      </c>
      <c r="K210" s="49" t="s">
        <v>37</v>
      </c>
    </row>
    <row r="211" spans="1:26" ht="15.75" customHeight="1">
      <c r="A211" s="49">
        <v>23</v>
      </c>
      <c r="B211" s="49" t="s">
        <v>861</v>
      </c>
      <c r="C211" s="49" t="s">
        <v>227</v>
      </c>
      <c r="D211" s="49" t="s">
        <v>405</v>
      </c>
      <c r="E211" s="107" t="s">
        <v>241</v>
      </c>
      <c r="F211" s="49"/>
      <c r="G211" s="49" t="s">
        <v>35</v>
      </c>
      <c r="H211" s="50">
        <v>1000</v>
      </c>
      <c r="I211" s="55">
        <v>200</v>
      </c>
      <c r="J211" s="49" t="s">
        <v>36</v>
      </c>
      <c r="K211" s="49" t="s">
        <v>37</v>
      </c>
    </row>
    <row r="212" spans="1:26" ht="15.75" customHeight="1">
      <c r="A212" s="49">
        <v>23</v>
      </c>
      <c r="B212" s="49" t="s">
        <v>861</v>
      </c>
      <c r="C212" s="49" t="s">
        <v>227</v>
      </c>
      <c r="D212" s="49" t="s">
        <v>405</v>
      </c>
      <c r="E212" s="107" t="s">
        <v>241</v>
      </c>
      <c r="F212" s="49"/>
      <c r="G212" s="49" t="s">
        <v>35</v>
      </c>
      <c r="H212" s="49">
        <v>500</v>
      </c>
      <c r="I212" s="55"/>
      <c r="J212" s="49" t="s">
        <v>43</v>
      </c>
      <c r="K212" s="49" t="s">
        <v>37</v>
      </c>
    </row>
    <row r="213" spans="1:26" ht="15.75" customHeight="1">
      <c r="A213" s="49">
        <v>23</v>
      </c>
      <c r="B213" s="49" t="s">
        <v>1049</v>
      </c>
      <c r="C213" s="49" t="s">
        <v>227</v>
      </c>
      <c r="D213" s="49" t="s">
        <v>290</v>
      </c>
      <c r="E213" s="111" t="s">
        <v>232</v>
      </c>
      <c r="F213" s="49"/>
      <c r="G213" s="49" t="s">
        <v>35</v>
      </c>
      <c r="H213" s="50">
        <v>1500</v>
      </c>
      <c r="I213" s="55">
        <v>300</v>
      </c>
      <c r="J213" s="49" t="s">
        <v>36</v>
      </c>
      <c r="K213" s="49" t="s">
        <v>37</v>
      </c>
    </row>
    <row r="214" spans="1:26" ht="15.75" customHeight="1">
      <c r="A214" s="49">
        <v>23</v>
      </c>
      <c r="B214" s="49" t="s">
        <v>1882</v>
      </c>
      <c r="C214" s="49" t="s">
        <v>227</v>
      </c>
      <c r="D214" s="49"/>
      <c r="E214" s="49" t="s">
        <v>1075</v>
      </c>
      <c r="F214" s="49"/>
      <c r="G214" s="49" t="s">
        <v>120</v>
      </c>
      <c r="H214" s="49">
        <v>30</v>
      </c>
      <c r="I214" s="55">
        <v>300</v>
      </c>
      <c r="J214" s="49" t="s">
        <v>36</v>
      </c>
      <c r="K214" s="49" t="s">
        <v>37</v>
      </c>
    </row>
    <row r="215" spans="1:26" ht="15.75" customHeight="1">
      <c r="A215" s="49">
        <v>23</v>
      </c>
      <c r="B215" s="49" t="s">
        <v>2289</v>
      </c>
      <c r="C215" s="49" t="s">
        <v>227</v>
      </c>
      <c r="D215" s="49" t="s">
        <v>1751</v>
      </c>
      <c r="E215" s="49" t="s">
        <v>462</v>
      </c>
      <c r="F215" s="49"/>
      <c r="G215" s="49" t="s">
        <v>35</v>
      </c>
      <c r="H215" s="50">
        <v>10000</v>
      </c>
      <c r="I215" s="94">
        <v>2000</v>
      </c>
      <c r="J215" s="49" t="s">
        <v>36</v>
      </c>
      <c r="K215" s="49" t="s">
        <v>37</v>
      </c>
      <c r="O215" s="4"/>
    </row>
    <row r="216" spans="1:26" ht="15.75" customHeight="1">
      <c r="A216" s="49">
        <v>23</v>
      </c>
      <c r="B216" s="49" t="s">
        <v>2290</v>
      </c>
      <c r="C216" s="49" t="s">
        <v>227</v>
      </c>
      <c r="D216" s="49" t="s">
        <v>1198</v>
      </c>
      <c r="E216" s="107" t="s">
        <v>251</v>
      </c>
      <c r="F216" s="49"/>
      <c r="G216" s="49" t="s">
        <v>35</v>
      </c>
      <c r="H216" s="50">
        <v>200</v>
      </c>
      <c r="I216" s="55">
        <v>60</v>
      </c>
      <c r="J216" s="49" t="s">
        <v>36</v>
      </c>
      <c r="K216" s="49" t="s">
        <v>37</v>
      </c>
    </row>
    <row r="217" spans="1:26" ht="15.75" customHeight="1">
      <c r="A217" s="49">
        <v>23</v>
      </c>
      <c r="B217" s="49" t="s">
        <v>2291</v>
      </c>
      <c r="C217" s="49" t="s">
        <v>227</v>
      </c>
      <c r="D217" s="49" t="s">
        <v>288</v>
      </c>
      <c r="E217" s="111" t="s">
        <v>184</v>
      </c>
      <c r="F217" s="49"/>
      <c r="G217" s="49" t="s">
        <v>35</v>
      </c>
      <c r="H217" s="50">
        <v>2000</v>
      </c>
      <c r="I217" s="55">
        <v>400</v>
      </c>
      <c r="J217" s="49" t="s">
        <v>36</v>
      </c>
      <c r="K217" s="49" t="s">
        <v>37</v>
      </c>
    </row>
    <row r="218" spans="1:26" ht="15.75" customHeight="1">
      <c r="A218" s="49">
        <v>23</v>
      </c>
      <c r="B218" s="49" t="s">
        <v>2291</v>
      </c>
      <c r="C218" s="49" t="s">
        <v>227</v>
      </c>
      <c r="D218" s="49" t="s">
        <v>288</v>
      </c>
      <c r="E218" s="111" t="s">
        <v>184</v>
      </c>
      <c r="F218" s="49"/>
      <c r="G218" s="49" t="s">
        <v>120</v>
      </c>
      <c r="H218" s="49">
        <v>20</v>
      </c>
      <c r="I218" s="55">
        <v>200</v>
      </c>
      <c r="J218" s="49" t="s">
        <v>36</v>
      </c>
      <c r="K218" s="49" t="s">
        <v>37</v>
      </c>
    </row>
    <row r="219" spans="1:26" ht="15.75" customHeight="1">
      <c r="A219" s="49">
        <v>23</v>
      </c>
      <c r="B219" s="49" t="s">
        <v>2292</v>
      </c>
      <c r="C219" s="49" t="s">
        <v>227</v>
      </c>
      <c r="D219" s="49" t="s">
        <v>944</v>
      </c>
      <c r="E219" s="107" t="s">
        <v>164</v>
      </c>
      <c r="F219" s="49"/>
      <c r="G219" s="49" t="s">
        <v>35</v>
      </c>
      <c r="H219" s="50">
        <v>7000</v>
      </c>
      <c r="I219" s="94">
        <v>1400</v>
      </c>
      <c r="J219" s="49" t="s">
        <v>36</v>
      </c>
      <c r="K219" s="49" t="s">
        <v>37</v>
      </c>
    </row>
    <row r="220" spans="1:26" ht="15.75" customHeight="1">
      <c r="A220" s="49">
        <v>23</v>
      </c>
      <c r="B220" s="49" t="s">
        <v>2293</v>
      </c>
      <c r="C220" s="49" t="s">
        <v>227</v>
      </c>
      <c r="D220" s="49" t="s">
        <v>736</v>
      </c>
      <c r="E220" s="111" t="s">
        <v>232</v>
      </c>
      <c r="F220" s="49"/>
      <c r="G220" s="49" t="s">
        <v>35</v>
      </c>
      <c r="H220" s="49">
        <v>250</v>
      </c>
      <c r="I220" s="55">
        <v>50</v>
      </c>
      <c r="J220" s="49" t="s">
        <v>36</v>
      </c>
      <c r="K220" s="49" t="s">
        <v>37</v>
      </c>
    </row>
    <row r="221" spans="1:26" ht="15.75" customHeight="1">
      <c r="A221" s="49">
        <v>23</v>
      </c>
      <c r="B221" s="49" t="s">
        <v>2293</v>
      </c>
      <c r="C221" s="49" t="s">
        <v>227</v>
      </c>
      <c r="D221" s="49" t="s">
        <v>736</v>
      </c>
      <c r="E221" s="111" t="s">
        <v>232</v>
      </c>
      <c r="F221" s="49"/>
      <c r="G221" s="49" t="s">
        <v>35</v>
      </c>
      <c r="H221" s="49">
        <v>500</v>
      </c>
      <c r="I221" s="55"/>
      <c r="J221" s="49" t="s">
        <v>43</v>
      </c>
      <c r="K221" s="49" t="s">
        <v>37</v>
      </c>
    </row>
    <row r="222" spans="1:26" ht="15.75" customHeight="1">
      <c r="A222" s="49">
        <v>23</v>
      </c>
      <c r="B222" s="49" t="s">
        <v>2294</v>
      </c>
      <c r="C222" s="49" t="s">
        <v>227</v>
      </c>
      <c r="D222" s="49" t="s">
        <v>1010</v>
      </c>
      <c r="E222" s="107" t="s">
        <v>251</v>
      </c>
      <c r="F222" s="49"/>
      <c r="G222" s="49" t="s">
        <v>35</v>
      </c>
      <c r="H222" s="49">
        <v>200</v>
      </c>
      <c r="I222" s="55">
        <v>60</v>
      </c>
      <c r="J222" s="49" t="s">
        <v>36</v>
      </c>
      <c r="K222" s="49" t="s">
        <v>37</v>
      </c>
    </row>
    <row r="223" spans="1:26" ht="15.75" customHeight="1">
      <c r="A223" s="101">
        <v>23</v>
      </c>
      <c r="B223" s="101" t="s">
        <v>2295</v>
      </c>
      <c r="C223" s="101" t="s">
        <v>227</v>
      </c>
      <c r="D223" s="101" t="s">
        <v>323</v>
      </c>
      <c r="E223" s="113" t="s">
        <v>232</v>
      </c>
      <c r="F223" s="101"/>
      <c r="G223" s="101" t="s">
        <v>35</v>
      </c>
      <c r="H223" s="114">
        <v>1000</v>
      </c>
      <c r="I223" s="102">
        <v>200</v>
      </c>
      <c r="J223" s="101" t="s">
        <v>36</v>
      </c>
      <c r="K223" s="49" t="s">
        <v>37</v>
      </c>
    </row>
    <row r="224" spans="1:26" ht="15.75" customHeight="1">
      <c r="A224" s="103">
        <v>24</v>
      </c>
      <c r="B224" s="17" t="s">
        <v>2296</v>
      </c>
      <c r="C224" s="17" t="s">
        <v>227</v>
      </c>
      <c r="D224" s="17" t="s">
        <v>873</v>
      </c>
      <c r="E224" s="115" t="s">
        <v>251</v>
      </c>
      <c r="F224" s="17"/>
      <c r="G224" s="17" t="s">
        <v>35</v>
      </c>
      <c r="H224" s="116">
        <v>1000</v>
      </c>
      <c r="I224" s="105"/>
      <c r="J224" s="17" t="s">
        <v>43</v>
      </c>
      <c r="K224" s="49" t="s">
        <v>37</v>
      </c>
      <c r="L224" s="1"/>
      <c r="M224" s="1"/>
      <c r="N224" s="110" t="s">
        <v>2297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17" ht="15.75" customHeight="1">
      <c r="A225" s="49">
        <v>24</v>
      </c>
      <c r="B225" s="49" t="s">
        <v>2298</v>
      </c>
      <c r="C225" s="49" t="s">
        <v>246</v>
      </c>
      <c r="D225" s="49" t="s">
        <v>32</v>
      </c>
      <c r="E225" s="107" t="s">
        <v>2299</v>
      </c>
      <c r="F225" s="49"/>
      <c r="G225" s="49" t="s">
        <v>35</v>
      </c>
      <c r="H225" s="49">
        <v>100</v>
      </c>
      <c r="I225" s="55">
        <v>20</v>
      </c>
      <c r="J225" s="49" t="s">
        <v>36</v>
      </c>
      <c r="K225" s="49" t="s">
        <v>37</v>
      </c>
      <c r="N225" s="61" t="s">
        <v>2300</v>
      </c>
      <c r="P225" s="61" t="s">
        <v>2272</v>
      </c>
    </row>
    <row r="226" spans="1:17" ht="15.75" customHeight="1">
      <c r="A226" s="49">
        <v>24</v>
      </c>
      <c r="B226" s="49" t="s">
        <v>2298</v>
      </c>
      <c r="C226" s="49" t="s">
        <v>246</v>
      </c>
      <c r="D226" s="49" t="s">
        <v>32</v>
      </c>
      <c r="E226" s="107" t="s">
        <v>2299</v>
      </c>
      <c r="F226" s="49"/>
      <c r="G226" s="49" t="s">
        <v>120</v>
      </c>
      <c r="H226" s="49">
        <v>2</v>
      </c>
      <c r="I226" s="55">
        <v>40</v>
      </c>
      <c r="J226" s="49" t="s">
        <v>36</v>
      </c>
      <c r="K226" s="49" t="s">
        <v>37</v>
      </c>
      <c r="N226" s="61">
        <f>H226+H227</f>
        <v>42</v>
      </c>
      <c r="O226" s="61" t="s">
        <v>2270</v>
      </c>
      <c r="P226" s="61" t="s">
        <v>2301</v>
      </c>
      <c r="Q226" s="258" t="s">
        <v>2302</v>
      </c>
    </row>
    <row r="227" spans="1:17" ht="15.75" customHeight="1">
      <c r="A227" s="49">
        <v>24</v>
      </c>
      <c r="B227" s="49" t="s">
        <v>2298</v>
      </c>
      <c r="C227" s="49" t="s">
        <v>246</v>
      </c>
      <c r="D227" s="49" t="s">
        <v>32</v>
      </c>
      <c r="E227" s="107" t="s">
        <v>2299</v>
      </c>
      <c r="F227" s="49"/>
      <c r="G227" s="49" t="s">
        <v>120</v>
      </c>
      <c r="H227" s="49">
        <v>40</v>
      </c>
      <c r="I227" s="55">
        <v>400</v>
      </c>
      <c r="J227" s="49" t="s">
        <v>36</v>
      </c>
      <c r="K227" s="49" t="s">
        <v>37</v>
      </c>
      <c r="Q227" s="241"/>
    </row>
    <row r="228" spans="1:17" ht="15.75" customHeight="1">
      <c r="A228" s="117">
        <v>25</v>
      </c>
      <c r="B228" s="49" t="s">
        <v>2303</v>
      </c>
      <c r="C228" s="49" t="s">
        <v>227</v>
      </c>
      <c r="D228" s="49" t="s">
        <v>959</v>
      </c>
      <c r="E228" s="111" t="s">
        <v>507</v>
      </c>
      <c r="F228" s="49"/>
      <c r="G228" s="49" t="s">
        <v>35</v>
      </c>
      <c r="H228" s="50">
        <v>4000</v>
      </c>
      <c r="I228" s="55">
        <v>800</v>
      </c>
      <c r="J228" s="49" t="s">
        <v>36</v>
      </c>
      <c r="K228" s="49" t="s">
        <v>37</v>
      </c>
      <c r="N228" s="110" t="s">
        <v>2304</v>
      </c>
      <c r="O228" s="4"/>
    </row>
    <row r="229" spans="1:17" ht="15.75" customHeight="1">
      <c r="A229" s="117">
        <v>25</v>
      </c>
      <c r="B229" s="49" t="s">
        <v>2303</v>
      </c>
      <c r="C229" s="49" t="s">
        <v>227</v>
      </c>
      <c r="D229" s="49" t="s">
        <v>959</v>
      </c>
      <c r="E229" s="111" t="s">
        <v>507</v>
      </c>
      <c r="F229" s="49"/>
      <c r="G229" s="49" t="s">
        <v>120</v>
      </c>
      <c r="H229" s="49">
        <v>17</v>
      </c>
      <c r="I229" s="55">
        <v>170</v>
      </c>
      <c r="J229" s="49" t="s">
        <v>36</v>
      </c>
      <c r="K229" s="49" t="s">
        <v>37</v>
      </c>
      <c r="N229" s="61" t="s">
        <v>2269</v>
      </c>
    </row>
    <row r="230" spans="1:17" ht="15.75" customHeight="1">
      <c r="A230" s="49">
        <v>25</v>
      </c>
      <c r="B230" s="49" t="s">
        <v>2305</v>
      </c>
      <c r="C230" s="49" t="s">
        <v>227</v>
      </c>
      <c r="D230" s="49" t="s">
        <v>32</v>
      </c>
      <c r="E230" s="112" t="s">
        <v>158</v>
      </c>
      <c r="F230" s="49"/>
      <c r="G230" s="49" t="s">
        <v>35</v>
      </c>
      <c r="H230" s="49">
        <v>400</v>
      </c>
      <c r="I230" s="55">
        <v>120</v>
      </c>
      <c r="J230" s="49" t="s">
        <v>36</v>
      </c>
      <c r="K230" s="49" t="s">
        <v>37</v>
      </c>
      <c r="N230" s="61">
        <f>H229</f>
        <v>17</v>
      </c>
      <c r="O230" s="1" t="s">
        <v>2270</v>
      </c>
    </row>
    <row r="231" spans="1:17" ht="15.75" customHeight="1">
      <c r="A231" s="49">
        <v>25</v>
      </c>
      <c r="B231" s="49" t="s">
        <v>2306</v>
      </c>
      <c r="C231" s="49" t="s">
        <v>227</v>
      </c>
      <c r="D231" s="49" t="s">
        <v>1581</v>
      </c>
      <c r="E231" s="111" t="s">
        <v>386</v>
      </c>
      <c r="F231" s="49"/>
      <c r="G231" s="49" t="s">
        <v>35</v>
      </c>
      <c r="H231" s="50">
        <v>8000</v>
      </c>
      <c r="I231" s="94">
        <v>1600</v>
      </c>
      <c r="J231" s="49" t="s">
        <v>36</v>
      </c>
      <c r="K231" s="49" t="s">
        <v>37</v>
      </c>
      <c r="N231" s="61" t="s">
        <v>2272</v>
      </c>
      <c r="O231" s="4"/>
    </row>
    <row r="232" spans="1:17" ht="15.75" customHeight="1">
      <c r="A232" s="49">
        <v>25</v>
      </c>
      <c r="B232" s="49" t="s">
        <v>2307</v>
      </c>
      <c r="C232" s="49" t="s">
        <v>227</v>
      </c>
      <c r="D232" s="49" t="s">
        <v>394</v>
      </c>
      <c r="E232" s="111" t="s">
        <v>232</v>
      </c>
      <c r="F232" s="49"/>
      <c r="G232" s="49" t="s">
        <v>35</v>
      </c>
      <c r="H232" s="50">
        <v>2000</v>
      </c>
      <c r="I232" s="55">
        <v>600</v>
      </c>
      <c r="J232" s="49" t="s">
        <v>36</v>
      </c>
      <c r="K232" s="49" t="s">
        <v>37</v>
      </c>
      <c r="N232" s="4">
        <f>H228+H230+H231+H232+H233</f>
        <v>15100</v>
      </c>
      <c r="O232" s="1" t="s">
        <v>2270</v>
      </c>
    </row>
    <row r="233" spans="1:17" ht="15.75" customHeight="1">
      <c r="A233" s="101">
        <v>25</v>
      </c>
      <c r="B233" s="101" t="s">
        <v>2308</v>
      </c>
      <c r="C233" s="101" t="s">
        <v>227</v>
      </c>
      <c r="D233" s="101" t="s">
        <v>515</v>
      </c>
      <c r="E233" s="118" t="s">
        <v>164</v>
      </c>
      <c r="F233" s="101"/>
      <c r="G233" s="101" t="s">
        <v>35</v>
      </c>
      <c r="H233" s="101">
        <v>700</v>
      </c>
      <c r="I233" s="102">
        <v>140</v>
      </c>
      <c r="J233" s="101" t="s">
        <v>36</v>
      </c>
      <c r="K233" s="49" t="s">
        <v>37</v>
      </c>
      <c r="O233" s="1"/>
    </row>
    <row r="234" spans="1:17" ht="15.75" customHeight="1">
      <c r="A234" s="103">
        <v>26</v>
      </c>
      <c r="B234" s="17" t="s">
        <v>2309</v>
      </c>
      <c r="C234" s="17" t="s">
        <v>227</v>
      </c>
      <c r="D234" s="17" t="s">
        <v>819</v>
      </c>
      <c r="E234" s="104" t="s">
        <v>248</v>
      </c>
      <c r="F234" s="17"/>
      <c r="G234" s="17" t="s">
        <v>120</v>
      </c>
      <c r="H234" s="116">
        <v>20</v>
      </c>
      <c r="I234" s="105">
        <v>200</v>
      </c>
      <c r="J234" s="49" t="s">
        <v>36</v>
      </c>
      <c r="K234" s="49" t="s">
        <v>37</v>
      </c>
      <c r="N234" s="110" t="s">
        <v>2310</v>
      </c>
      <c r="O234" s="1"/>
    </row>
    <row r="235" spans="1:17" ht="15.75" customHeight="1">
      <c r="A235" s="49">
        <v>26</v>
      </c>
      <c r="B235" s="49" t="s">
        <v>2311</v>
      </c>
      <c r="C235" s="49" t="s">
        <v>227</v>
      </c>
      <c r="D235" s="49" t="s">
        <v>247</v>
      </c>
      <c r="E235" s="112" t="s">
        <v>254</v>
      </c>
      <c r="F235" s="49"/>
      <c r="G235" s="49" t="s">
        <v>120</v>
      </c>
      <c r="H235" s="50">
        <v>70</v>
      </c>
      <c r="I235" s="55">
        <v>700</v>
      </c>
      <c r="J235" s="49" t="s">
        <v>36</v>
      </c>
      <c r="K235" s="49" t="s">
        <v>37</v>
      </c>
      <c r="N235" s="61" t="s">
        <v>2269</v>
      </c>
      <c r="O235" s="1"/>
    </row>
    <row r="236" spans="1:17" ht="15.75" customHeight="1">
      <c r="A236" s="49">
        <v>26</v>
      </c>
      <c r="B236" s="49" t="s">
        <v>2312</v>
      </c>
      <c r="C236" s="49" t="s">
        <v>227</v>
      </c>
      <c r="D236" s="49" t="s">
        <v>32</v>
      </c>
      <c r="E236" s="111" t="s">
        <v>41</v>
      </c>
      <c r="F236" s="49"/>
      <c r="G236" s="49" t="s">
        <v>35</v>
      </c>
      <c r="H236" s="50">
        <v>2000</v>
      </c>
      <c r="I236" s="55">
        <v>400</v>
      </c>
      <c r="J236" s="49" t="s">
        <v>36</v>
      </c>
      <c r="K236" s="49" t="s">
        <v>37</v>
      </c>
      <c r="N236" s="4">
        <f>H234+H235+H238+H239+H240</f>
        <v>160</v>
      </c>
      <c r="O236" s="1" t="s">
        <v>2270</v>
      </c>
    </row>
    <row r="237" spans="1:17" ht="15.75" customHeight="1">
      <c r="A237" s="49">
        <v>26</v>
      </c>
      <c r="B237" s="49" t="s">
        <v>2312</v>
      </c>
      <c r="C237" s="49" t="s">
        <v>227</v>
      </c>
      <c r="D237" s="49" t="s">
        <v>32</v>
      </c>
      <c r="E237" s="111" t="s">
        <v>41</v>
      </c>
      <c r="F237" s="49"/>
      <c r="G237" s="49" t="s">
        <v>35</v>
      </c>
      <c r="H237" s="50">
        <v>500</v>
      </c>
      <c r="I237" s="55"/>
      <c r="J237" s="49" t="s">
        <v>43</v>
      </c>
      <c r="K237" s="49" t="s">
        <v>37</v>
      </c>
      <c r="N237" s="61" t="s">
        <v>2272</v>
      </c>
    </row>
    <row r="238" spans="1:17" ht="15.75" customHeight="1">
      <c r="A238" s="49">
        <v>26</v>
      </c>
      <c r="B238" s="49" t="s">
        <v>2313</v>
      </c>
      <c r="C238" s="49" t="s">
        <v>246</v>
      </c>
      <c r="D238" s="49" t="s">
        <v>32</v>
      </c>
      <c r="E238" s="107" t="s">
        <v>307</v>
      </c>
      <c r="F238" s="49"/>
      <c r="G238" s="49" t="s">
        <v>120</v>
      </c>
      <c r="H238" s="50">
        <v>10</v>
      </c>
      <c r="I238" s="55">
        <v>100</v>
      </c>
      <c r="J238" s="49" t="s">
        <v>36</v>
      </c>
      <c r="K238" s="49" t="s">
        <v>37</v>
      </c>
      <c r="N238" s="4">
        <f>H237</f>
        <v>500</v>
      </c>
      <c r="O238" s="61" t="s">
        <v>2274</v>
      </c>
    </row>
    <row r="239" spans="1:17" ht="15.75" customHeight="1">
      <c r="A239" s="49">
        <v>26</v>
      </c>
      <c r="B239" s="49" t="s">
        <v>2312</v>
      </c>
      <c r="C239" s="49" t="s">
        <v>227</v>
      </c>
      <c r="D239" s="49" t="s">
        <v>32</v>
      </c>
      <c r="E239" s="111" t="s">
        <v>41</v>
      </c>
      <c r="F239" s="49"/>
      <c r="G239" s="49" t="s">
        <v>242</v>
      </c>
      <c r="H239" s="50">
        <v>10</v>
      </c>
      <c r="I239" s="55">
        <v>30</v>
      </c>
      <c r="J239" s="49" t="s">
        <v>36</v>
      </c>
      <c r="K239" s="49" t="s">
        <v>37</v>
      </c>
      <c r="N239" s="4">
        <f>H236+H241</f>
        <v>2100</v>
      </c>
      <c r="O239" s="61" t="s">
        <v>2270</v>
      </c>
    </row>
    <row r="240" spans="1:17" ht="15.75" customHeight="1">
      <c r="A240" s="49">
        <v>26</v>
      </c>
      <c r="B240" s="49" t="s">
        <v>2273</v>
      </c>
      <c r="C240" s="49" t="s">
        <v>227</v>
      </c>
      <c r="D240" s="49" t="s">
        <v>396</v>
      </c>
      <c r="E240" s="107" t="s">
        <v>251</v>
      </c>
      <c r="F240" s="49"/>
      <c r="G240" s="49" t="s">
        <v>242</v>
      </c>
      <c r="H240" s="50">
        <v>50</v>
      </c>
      <c r="I240" s="55">
        <v>150</v>
      </c>
      <c r="J240" s="49" t="s">
        <v>36</v>
      </c>
      <c r="K240" s="49" t="s">
        <v>37</v>
      </c>
    </row>
    <row r="241" spans="1:16" ht="15.75" customHeight="1">
      <c r="A241" s="101">
        <v>26</v>
      </c>
      <c r="B241" s="101" t="s">
        <v>2314</v>
      </c>
      <c r="C241" s="101" t="s">
        <v>227</v>
      </c>
      <c r="D241" s="101" t="s">
        <v>352</v>
      </c>
      <c r="E241" s="118" t="s">
        <v>307</v>
      </c>
      <c r="F241" s="101"/>
      <c r="G241" s="101" t="s">
        <v>35</v>
      </c>
      <c r="H241" s="114">
        <v>100</v>
      </c>
      <c r="I241" s="102">
        <v>40</v>
      </c>
      <c r="J241" s="101" t="s">
        <v>36</v>
      </c>
      <c r="K241" s="49" t="s">
        <v>37</v>
      </c>
    </row>
    <row r="242" spans="1:16" ht="15.75" customHeight="1">
      <c r="A242" s="103">
        <v>27</v>
      </c>
      <c r="B242" s="17" t="s">
        <v>2315</v>
      </c>
      <c r="C242" s="17"/>
      <c r="D242" s="17" t="s">
        <v>604</v>
      </c>
      <c r="E242" s="115" t="s">
        <v>235</v>
      </c>
      <c r="F242" s="17"/>
      <c r="G242" s="17" t="s">
        <v>103</v>
      </c>
      <c r="H242" s="116" t="s">
        <v>2316</v>
      </c>
      <c r="I242" s="119">
        <v>16800</v>
      </c>
      <c r="J242" s="49" t="s">
        <v>36</v>
      </c>
      <c r="K242" s="49" t="s">
        <v>37</v>
      </c>
      <c r="N242" s="120" t="s">
        <v>2317</v>
      </c>
      <c r="O242" s="121"/>
      <c r="P242" s="4"/>
    </row>
    <row r="243" spans="1:16" ht="15.75" customHeight="1">
      <c r="A243" s="49">
        <v>27</v>
      </c>
      <c r="B243" s="49" t="s">
        <v>2318</v>
      </c>
      <c r="C243" s="49" t="s">
        <v>246</v>
      </c>
      <c r="D243" s="49" t="s">
        <v>938</v>
      </c>
      <c r="E243" s="107" t="s">
        <v>251</v>
      </c>
      <c r="F243" s="49"/>
      <c r="G243" s="49" t="s">
        <v>103</v>
      </c>
      <c r="H243" s="50" t="s">
        <v>2319</v>
      </c>
      <c r="I243" s="94">
        <v>1920</v>
      </c>
      <c r="J243" s="49" t="s">
        <v>36</v>
      </c>
      <c r="K243" s="49" t="s">
        <v>37</v>
      </c>
      <c r="N243" s="122"/>
      <c r="O243" s="123" t="s">
        <v>2320</v>
      </c>
      <c r="P243" s="61" t="s">
        <v>2321</v>
      </c>
    </row>
    <row r="244" spans="1:16" ht="15.75" customHeight="1">
      <c r="A244" s="49">
        <v>27</v>
      </c>
      <c r="B244" s="49" t="s">
        <v>2322</v>
      </c>
      <c r="C244" s="49" t="s">
        <v>246</v>
      </c>
      <c r="D244" s="49" t="s">
        <v>607</v>
      </c>
      <c r="E244" s="107" t="s">
        <v>235</v>
      </c>
      <c r="F244" s="49"/>
      <c r="G244" s="49" t="s">
        <v>103</v>
      </c>
      <c r="H244" s="50" t="s">
        <v>2323</v>
      </c>
      <c r="I244" s="55">
        <v>240</v>
      </c>
      <c r="J244" s="49" t="s">
        <v>36</v>
      </c>
      <c r="K244" s="49" t="s">
        <v>37</v>
      </c>
      <c r="N244" s="61" t="s">
        <v>2272</v>
      </c>
    </row>
    <row r="245" spans="1:16" ht="15.75" customHeight="1">
      <c r="A245" s="49">
        <v>27</v>
      </c>
      <c r="B245" s="49" t="s">
        <v>2324</v>
      </c>
      <c r="C245" s="49" t="s">
        <v>227</v>
      </c>
      <c r="D245" s="49" t="s">
        <v>1293</v>
      </c>
      <c r="E245" s="112" t="s">
        <v>48</v>
      </c>
      <c r="F245" s="49"/>
      <c r="G245" s="49" t="s">
        <v>35</v>
      </c>
      <c r="H245" s="50">
        <v>300</v>
      </c>
      <c r="I245" s="55">
        <v>90</v>
      </c>
      <c r="J245" s="49" t="s">
        <v>36</v>
      </c>
      <c r="K245" s="49" t="s">
        <v>37</v>
      </c>
      <c r="N245" s="4">
        <f>H245+H246</f>
        <v>800</v>
      </c>
      <c r="O245" s="61" t="s">
        <v>2270</v>
      </c>
    </row>
    <row r="246" spans="1:16" ht="15.75" customHeight="1">
      <c r="A246" s="101">
        <v>27</v>
      </c>
      <c r="B246" s="101" t="s">
        <v>2325</v>
      </c>
      <c r="C246" s="101" t="s">
        <v>227</v>
      </c>
      <c r="D246" s="101" t="s">
        <v>1688</v>
      </c>
      <c r="E246" s="118" t="s">
        <v>164</v>
      </c>
      <c r="F246" s="101"/>
      <c r="G246" s="101" t="s">
        <v>35</v>
      </c>
      <c r="H246" s="114">
        <v>500</v>
      </c>
      <c r="I246" s="102">
        <v>150</v>
      </c>
      <c r="J246" s="101" t="s">
        <v>36</v>
      </c>
      <c r="K246" s="49" t="s">
        <v>37</v>
      </c>
    </row>
    <row r="247" spans="1:16" ht="15.75" customHeight="1">
      <c r="A247" s="103">
        <v>28</v>
      </c>
      <c r="B247" s="17" t="s">
        <v>2326</v>
      </c>
      <c r="C247" s="17" t="s">
        <v>227</v>
      </c>
      <c r="D247" s="17" t="s">
        <v>32</v>
      </c>
      <c r="E247" s="104" t="s">
        <v>184</v>
      </c>
      <c r="F247" s="17"/>
      <c r="G247" s="17" t="s">
        <v>120</v>
      </c>
      <c r="H247" s="116">
        <v>40</v>
      </c>
      <c r="I247" s="105">
        <v>400</v>
      </c>
      <c r="J247" s="49" t="s">
        <v>36</v>
      </c>
      <c r="K247" s="49" t="s">
        <v>37</v>
      </c>
      <c r="N247" s="110" t="s">
        <v>2327</v>
      </c>
    </row>
    <row r="248" spans="1:16" ht="15.75" customHeight="1">
      <c r="A248" s="49">
        <v>28</v>
      </c>
      <c r="B248" s="49" t="s">
        <v>2328</v>
      </c>
      <c r="C248" s="49" t="s">
        <v>227</v>
      </c>
      <c r="D248" s="49" t="s">
        <v>385</v>
      </c>
      <c r="E248" s="111" t="s">
        <v>386</v>
      </c>
      <c r="F248" s="49"/>
      <c r="G248" s="49" t="s">
        <v>103</v>
      </c>
      <c r="H248" s="50" t="s">
        <v>2329</v>
      </c>
      <c r="I248" s="55">
        <v>1440</v>
      </c>
      <c r="J248" s="49" t="s">
        <v>36</v>
      </c>
      <c r="K248" s="49" t="s">
        <v>37</v>
      </c>
      <c r="N248" s="61" t="s">
        <v>2269</v>
      </c>
    </row>
    <row r="249" spans="1:16" ht="15.75" customHeight="1">
      <c r="A249" s="101">
        <v>28</v>
      </c>
      <c r="B249" s="101" t="s">
        <v>2330</v>
      </c>
      <c r="C249" s="101" t="s">
        <v>227</v>
      </c>
      <c r="D249" s="101" t="s">
        <v>1219</v>
      </c>
      <c r="E249" s="118" t="s">
        <v>235</v>
      </c>
      <c r="F249" s="101"/>
      <c r="G249" s="101" t="s">
        <v>120</v>
      </c>
      <c r="H249" s="114">
        <v>20</v>
      </c>
      <c r="I249" s="102">
        <v>200</v>
      </c>
      <c r="J249" s="49" t="s">
        <v>36</v>
      </c>
      <c r="K249" s="49" t="s">
        <v>37</v>
      </c>
      <c r="N249" s="4">
        <f>H247+H249</f>
        <v>60</v>
      </c>
      <c r="O249" s="61" t="s">
        <v>2270</v>
      </c>
    </row>
    <row r="250" spans="1:16" ht="15.75" customHeight="1">
      <c r="A250" s="103">
        <v>29</v>
      </c>
      <c r="B250" s="17" t="s">
        <v>2331</v>
      </c>
      <c r="C250" s="17" t="s">
        <v>227</v>
      </c>
      <c r="D250" s="17" t="s">
        <v>444</v>
      </c>
      <c r="E250" s="115" t="s">
        <v>235</v>
      </c>
      <c r="F250" s="17"/>
      <c r="G250" s="17" t="s">
        <v>35</v>
      </c>
      <c r="H250" s="116">
        <v>100</v>
      </c>
      <c r="I250" s="105">
        <v>30</v>
      </c>
      <c r="J250" s="17" t="s">
        <v>36</v>
      </c>
      <c r="K250" s="49" t="s">
        <v>37</v>
      </c>
      <c r="N250" s="61" t="s">
        <v>2332</v>
      </c>
      <c r="O250" s="61" t="s">
        <v>2333</v>
      </c>
    </row>
    <row r="251" spans="1:16" ht="15.75" customHeight="1">
      <c r="A251" s="49">
        <v>29</v>
      </c>
      <c r="B251" s="49" t="s">
        <v>2334</v>
      </c>
      <c r="C251" s="49" t="s">
        <v>227</v>
      </c>
      <c r="D251" s="49" t="s">
        <v>33</v>
      </c>
      <c r="E251" s="111" t="s">
        <v>41</v>
      </c>
      <c r="F251" s="49"/>
      <c r="G251" s="49" t="s">
        <v>35</v>
      </c>
      <c r="H251" s="50">
        <v>2000</v>
      </c>
      <c r="I251" s="55"/>
      <c r="J251" s="49" t="s">
        <v>43</v>
      </c>
      <c r="K251" s="49" t="s">
        <v>37</v>
      </c>
    </row>
    <row r="252" spans="1:16" ht="15.75" customHeight="1">
      <c r="A252" s="49"/>
      <c r="B252" s="49"/>
      <c r="C252" s="49"/>
      <c r="D252" s="49"/>
      <c r="E252" s="49"/>
      <c r="F252" s="49"/>
      <c r="G252" s="49"/>
      <c r="H252" s="49"/>
      <c r="I252" s="55"/>
      <c r="J252" s="49"/>
      <c r="K252" s="49"/>
      <c r="N252" s="110" t="s">
        <v>2335</v>
      </c>
    </row>
    <row r="253" spans="1:16" ht="15.75" customHeight="1">
      <c r="N253" s="61" t="s">
        <v>2272</v>
      </c>
    </row>
    <row r="254" spans="1:16" ht="15.75" customHeight="1">
      <c r="A254" s="1"/>
      <c r="B254" s="1"/>
      <c r="D254" s="1"/>
      <c r="E254" s="1"/>
      <c r="G254" s="1"/>
      <c r="H254" s="4"/>
      <c r="J254" s="1"/>
      <c r="N254" s="4">
        <f t="shared" ref="N254:N255" si="0">H250</f>
        <v>100</v>
      </c>
      <c r="O254" s="61" t="s">
        <v>2270</v>
      </c>
    </row>
    <row r="255" spans="1:16" ht="15.75" customHeight="1">
      <c r="I255" s="124" t="s">
        <v>53</v>
      </c>
      <c r="J255" s="60"/>
      <c r="N255" s="4">
        <f t="shared" si="0"/>
        <v>2000</v>
      </c>
      <c r="O255" s="61" t="s">
        <v>2274</v>
      </c>
    </row>
    <row r="256" spans="1:16" ht="15.75" customHeight="1">
      <c r="B256" s="61" t="s">
        <v>55</v>
      </c>
      <c r="E256" s="61" t="s">
        <v>56</v>
      </c>
      <c r="I256" s="60" t="s">
        <v>2336</v>
      </c>
      <c r="J256" s="60"/>
    </row>
    <row r="257" spans="2:10" ht="15.75" customHeight="1">
      <c r="I257" s="60" t="s">
        <v>2337</v>
      </c>
      <c r="J257" s="60"/>
    </row>
    <row r="258" spans="2:10" ht="15.75" customHeight="1">
      <c r="I258" s="60" t="s">
        <v>2338</v>
      </c>
      <c r="J258" s="60"/>
    </row>
    <row r="259" spans="2:10" ht="15.75" customHeight="1">
      <c r="B259" s="65" t="s">
        <v>109</v>
      </c>
      <c r="E259" s="65" t="s">
        <v>61</v>
      </c>
      <c r="F259" s="65"/>
      <c r="G259" s="62"/>
      <c r="I259" s="60" t="s">
        <v>2339</v>
      </c>
      <c r="J259" s="60"/>
    </row>
    <row r="260" spans="2:10" ht="15.75" customHeight="1">
      <c r="B260" s="61" t="s">
        <v>110</v>
      </c>
      <c r="E260" s="61" t="s">
        <v>124</v>
      </c>
      <c r="I260" s="60" t="s">
        <v>2340</v>
      </c>
      <c r="J260" s="60"/>
    </row>
    <row r="261" spans="2:10" ht="15.75" customHeight="1">
      <c r="I261" s="60" t="s">
        <v>2341</v>
      </c>
      <c r="J261" s="60"/>
    </row>
    <row r="262" spans="2:10" ht="15.75" customHeight="1">
      <c r="I262" s="60" t="s">
        <v>66</v>
      </c>
      <c r="J262" s="60"/>
    </row>
    <row r="263" spans="2:10" ht="15.75" customHeight="1">
      <c r="I263" s="125" t="s">
        <v>2342</v>
      </c>
      <c r="J263" s="63"/>
    </row>
    <row r="264" spans="2:10" ht="15.75" customHeight="1">
      <c r="I264" s="125" t="s">
        <v>2343</v>
      </c>
      <c r="J264" s="63"/>
    </row>
    <row r="265" spans="2:10" ht="15.75" customHeight="1"/>
    <row r="266" spans="2:10" ht="15.75" customHeight="1"/>
    <row r="267" spans="2:10" ht="15.75" customHeight="1"/>
    <row r="268" spans="2:10" ht="15.75" customHeight="1"/>
    <row r="269" spans="2:10" ht="15.75" customHeight="1"/>
    <row r="270" spans="2:10" ht="15.75" customHeight="1"/>
    <row r="271" spans="2:10" ht="15.75" customHeight="1"/>
    <row r="272" spans="2:1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I1"/>
    <mergeCell ref="C2:G2"/>
    <mergeCell ref="F7:H7"/>
    <mergeCell ref="J7:K7"/>
    <mergeCell ref="Q226:Q227"/>
  </mergeCells>
  <pageMargins left="0.7" right="0.7" top="0.75" bottom="0.75" header="0" footer="0"/>
  <pageSetup paperSize="5" scale="90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1000"/>
  <sheetViews>
    <sheetView workbookViewId="0"/>
  </sheetViews>
  <sheetFormatPr defaultColWidth="14.42578125" defaultRowHeight="15" customHeight="1"/>
  <cols>
    <col min="1" max="1" width="4.7109375" customWidth="1"/>
    <col min="2" max="2" width="26.5703125" customWidth="1"/>
    <col min="3" max="3" width="7.57031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9.5703125" customWidth="1"/>
    <col min="11" max="11" width="18.5703125" customWidth="1"/>
    <col min="12" max="12" width="14.42578125" customWidth="1"/>
    <col min="13" max="13" width="8.28515625" customWidth="1"/>
    <col min="14" max="14" width="15.42578125" customWidth="1"/>
    <col min="15" max="26" width="8.7109375" customWidth="1"/>
  </cols>
  <sheetData>
    <row r="2" spans="1:16">
      <c r="M2" s="3"/>
      <c r="N2" s="3"/>
      <c r="O2" s="1"/>
    </row>
    <row r="3" spans="1:16">
      <c r="M3" s="3"/>
      <c r="N3" s="3"/>
      <c r="O3" s="1"/>
    </row>
    <row r="4" spans="1:16" ht="23.25">
      <c r="A4" s="240" t="s">
        <v>0</v>
      </c>
      <c r="B4" s="241"/>
      <c r="C4" s="241"/>
      <c r="D4" s="241"/>
      <c r="E4" s="241"/>
      <c r="F4" s="241"/>
      <c r="G4" s="241"/>
      <c r="H4" s="241"/>
      <c r="I4" s="241"/>
      <c r="J4" s="69"/>
      <c r="M4" s="3"/>
      <c r="N4" s="3"/>
      <c r="O4" s="1"/>
    </row>
    <row r="5" spans="1:16" ht="18">
      <c r="A5" s="2"/>
      <c r="B5" s="3"/>
      <c r="C5" s="242" t="s">
        <v>2344</v>
      </c>
      <c r="D5" s="241"/>
      <c r="E5" s="241"/>
      <c r="F5" s="241"/>
      <c r="G5" s="241"/>
      <c r="H5" s="70"/>
      <c r="I5" s="71"/>
      <c r="J5" s="72"/>
      <c r="K5" s="6"/>
      <c r="M5" s="126"/>
      <c r="N5" s="126"/>
      <c r="O5" s="1"/>
      <c r="P5" s="127"/>
    </row>
    <row r="6" spans="1:16">
      <c r="A6" s="2"/>
      <c r="B6" s="3"/>
      <c r="C6" s="73"/>
      <c r="D6" s="3"/>
      <c r="E6" s="3"/>
      <c r="G6" s="73"/>
      <c r="H6" s="70"/>
      <c r="I6" s="71"/>
      <c r="J6" s="8" t="s">
        <v>2345</v>
      </c>
      <c r="K6" s="74"/>
      <c r="M6" s="126"/>
      <c r="N6" s="126"/>
      <c r="O6" s="1"/>
    </row>
    <row r="7" spans="1:16">
      <c r="A7" s="2"/>
      <c r="B7" s="3"/>
      <c r="C7" s="73"/>
      <c r="D7" s="3"/>
      <c r="E7" s="3"/>
      <c r="G7" s="73"/>
      <c r="H7" s="70"/>
      <c r="I7" s="75"/>
      <c r="J7" s="69" t="s">
        <v>2346</v>
      </c>
      <c r="K7" s="76"/>
      <c r="M7" s="126"/>
      <c r="N7" s="126"/>
      <c r="O7" s="1"/>
    </row>
    <row r="8" spans="1:16">
      <c r="A8" s="2"/>
      <c r="B8" s="3"/>
      <c r="C8" s="73"/>
      <c r="D8" s="3"/>
      <c r="E8" s="3"/>
      <c r="G8" s="73"/>
      <c r="H8" s="70"/>
      <c r="I8" s="75"/>
      <c r="J8" s="69" t="s">
        <v>2347</v>
      </c>
      <c r="K8" s="76"/>
      <c r="M8" s="1"/>
      <c r="N8" s="1"/>
      <c r="O8" s="1"/>
    </row>
    <row r="9" spans="1:16">
      <c r="A9" s="77" t="s">
        <v>218</v>
      </c>
      <c r="B9" s="13"/>
      <c r="C9" s="73"/>
      <c r="D9" s="3"/>
      <c r="E9" s="15"/>
      <c r="F9" s="1"/>
      <c r="G9" s="73"/>
      <c r="H9" s="70"/>
      <c r="I9" s="71"/>
      <c r="J9" s="16" t="s">
        <v>2348</v>
      </c>
      <c r="K9" s="78"/>
    </row>
    <row r="10" spans="1:16">
      <c r="A10" s="18"/>
      <c r="B10" s="19"/>
      <c r="C10" s="79"/>
      <c r="D10" s="21"/>
      <c r="E10" s="21"/>
      <c r="F10" s="243" t="s">
        <v>220</v>
      </c>
      <c r="G10" s="257"/>
      <c r="H10" s="244"/>
      <c r="I10" s="80"/>
      <c r="J10" s="245" t="s">
        <v>11</v>
      </c>
      <c r="K10" s="246"/>
      <c r="N10" s="128"/>
    </row>
    <row r="11" spans="1:16">
      <c r="B11" s="100" t="s">
        <v>221</v>
      </c>
      <c r="C11" s="81" t="s">
        <v>222</v>
      </c>
      <c r="D11" s="24" t="s">
        <v>14</v>
      </c>
      <c r="E11" s="25" t="s">
        <v>15</v>
      </c>
      <c r="F11" s="82" t="s">
        <v>223</v>
      </c>
      <c r="G11" s="83"/>
      <c r="H11" s="84" t="s">
        <v>18</v>
      </c>
      <c r="I11" s="29" t="s">
        <v>19</v>
      </c>
      <c r="J11" s="85"/>
      <c r="K11" s="30"/>
      <c r="N11" s="128"/>
    </row>
    <row r="12" spans="1:16">
      <c r="A12" s="31"/>
      <c r="B12" s="32"/>
      <c r="C12" s="83"/>
      <c r="D12" s="33"/>
      <c r="E12" s="32"/>
      <c r="F12" s="86" t="s">
        <v>224</v>
      </c>
      <c r="G12" s="81" t="s">
        <v>23</v>
      </c>
      <c r="H12" s="84" t="s">
        <v>24</v>
      </c>
      <c r="I12" s="87"/>
      <c r="J12" s="24" t="s">
        <v>25</v>
      </c>
      <c r="K12" s="24" t="s">
        <v>26</v>
      </c>
      <c r="N12" s="128"/>
    </row>
    <row r="13" spans="1:16">
      <c r="A13" s="36"/>
      <c r="B13" s="37"/>
      <c r="C13" s="88"/>
      <c r="D13" s="39"/>
      <c r="E13" s="39"/>
      <c r="F13" s="45"/>
      <c r="G13" s="89"/>
      <c r="H13" s="90" t="s">
        <v>225</v>
      </c>
      <c r="I13" s="91"/>
      <c r="J13" s="45"/>
      <c r="K13" s="41" t="s">
        <v>29</v>
      </c>
      <c r="L13" s="3"/>
    </row>
    <row r="14" spans="1:16">
      <c r="A14" s="92" t="s">
        <v>30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3"/>
    </row>
    <row r="15" spans="1:16">
      <c r="A15" s="92">
        <v>1</v>
      </c>
      <c r="B15" s="49" t="s">
        <v>2349</v>
      </c>
      <c r="C15" s="49" t="s">
        <v>246</v>
      </c>
      <c r="D15" s="49" t="s">
        <v>1465</v>
      </c>
      <c r="E15" s="49" t="s">
        <v>232</v>
      </c>
      <c r="F15" s="49"/>
      <c r="G15" s="49" t="s">
        <v>35</v>
      </c>
      <c r="H15" s="50">
        <v>1000</v>
      </c>
      <c r="I15" s="55">
        <v>200</v>
      </c>
      <c r="J15" s="49" t="s">
        <v>36</v>
      </c>
      <c r="K15" s="49" t="s">
        <v>37</v>
      </c>
      <c r="L15" s="3"/>
      <c r="M15" s="1">
        <v>150</v>
      </c>
      <c r="N15" s="1"/>
      <c r="O15" s="1"/>
      <c r="P15" s="1"/>
    </row>
    <row r="16" spans="1:16">
      <c r="A16" s="92">
        <v>1</v>
      </c>
      <c r="B16" s="49" t="s">
        <v>2349</v>
      </c>
      <c r="C16" s="49" t="s">
        <v>246</v>
      </c>
      <c r="D16" s="49" t="s">
        <v>1465</v>
      </c>
      <c r="E16" s="49" t="s">
        <v>232</v>
      </c>
      <c r="F16" s="49"/>
      <c r="G16" s="49" t="s">
        <v>35</v>
      </c>
      <c r="H16" s="49">
        <v>500</v>
      </c>
      <c r="I16" s="55"/>
      <c r="J16" s="49" t="s">
        <v>43</v>
      </c>
      <c r="K16" s="49" t="s">
        <v>37</v>
      </c>
      <c r="L16" s="3"/>
      <c r="M16" s="1"/>
      <c r="N16" s="1"/>
      <c r="O16" s="1"/>
      <c r="P16" s="1"/>
    </row>
    <row r="17" spans="1:16">
      <c r="A17" s="92">
        <v>1</v>
      </c>
      <c r="B17" s="49" t="s">
        <v>2350</v>
      </c>
      <c r="C17" s="49" t="s">
        <v>246</v>
      </c>
      <c r="D17" s="49" t="s">
        <v>297</v>
      </c>
      <c r="E17" s="49" t="s">
        <v>51</v>
      </c>
      <c r="F17" s="49"/>
      <c r="G17" s="49" t="s">
        <v>35</v>
      </c>
      <c r="H17" s="50">
        <v>1500</v>
      </c>
      <c r="I17" s="55">
        <v>300</v>
      </c>
      <c r="J17" s="49" t="s">
        <v>36</v>
      </c>
      <c r="K17" s="49" t="s">
        <v>37</v>
      </c>
      <c r="L17" s="3"/>
      <c r="M17" s="1">
        <v>200</v>
      </c>
      <c r="N17" s="1"/>
      <c r="O17" s="1"/>
      <c r="P17" s="1"/>
    </row>
    <row r="18" spans="1:16">
      <c r="A18" s="92">
        <v>1</v>
      </c>
      <c r="B18" s="49" t="s">
        <v>918</v>
      </c>
      <c r="C18" s="49" t="s">
        <v>227</v>
      </c>
      <c r="D18" s="49" t="s">
        <v>264</v>
      </c>
      <c r="E18" s="49" t="s">
        <v>184</v>
      </c>
      <c r="F18" s="49"/>
      <c r="G18" s="49" t="s">
        <v>35</v>
      </c>
      <c r="H18" s="50">
        <v>16000</v>
      </c>
      <c r="I18" s="55">
        <v>3200</v>
      </c>
      <c r="J18" s="49" t="s">
        <v>36</v>
      </c>
      <c r="K18" s="49" t="s">
        <v>37</v>
      </c>
      <c r="L18" s="3"/>
      <c r="M18" s="1">
        <v>2500</v>
      </c>
      <c r="N18" s="1"/>
      <c r="O18" s="1"/>
      <c r="P18" s="1"/>
    </row>
    <row r="19" spans="1:16">
      <c r="A19" s="92">
        <v>1</v>
      </c>
      <c r="B19" s="49" t="s">
        <v>2351</v>
      </c>
      <c r="C19" s="49" t="s">
        <v>246</v>
      </c>
      <c r="D19" s="49" t="s">
        <v>247</v>
      </c>
      <c r="E19" s="49" t="s">
        <v>307</v>
      </c>
      <c r="F19" s="49"/>
      <c r="G19" s="49" t="s">
        <v>120</v>
      </c>
      <c r="H19" s="49">
        <v>15</v>
      </c>
      <c r="I19" s="55">
        <v>150</v>
      </c>
      <c r="J19" s="49" t="s">
        <v>36</v>
      </c>
      <c r="K19" s="49" t="s">
        <v>37</v>
      </c>
      <c r="L19" s="3"/>
      <c r="M19" s="1"/>
      <c r="N19" s="1"/>
      <c r="O19" s="1"/>
      <c r="P19" s="1"/>
    </row>
    <row r="20" spans="1:16">
      <c r="A20" s="92">
        <v>1</v>
      </c>
      <c r="B20" s="49" t="s">
        <v>2352</v>
      </c>
      <c r="C20" s="49" t="s">
        <v>246</v>
      </c>
      <c r="D20" s="49" t="s">
        <v>548</v>
      </c>
      <c r="E20" s="49" t="s">
        <v>232</v>
      </c>
      <c r="F20" s="49"/>
      <c r="G20" s="49" t="s">
        <v>35</v>
      </c>
      <c r="H20" s="50">
        <v>2000</v>
      </c>
      <c r="I20" s="55">
        <v>600</v>
      </c>
      <c r="J20" s="49" t="s">
        <v>36</v>
      </c>
      <c r="K20" s="49" t="s">
        <v>37</v>
      </c>
      <c r="L20" s="3"/>
      <c r="M20" s="1">
        <v>600</v>
      </c>
      <c r="N20" s="1"/>
      <c r="O20" s="1"/>
      <c r="P20" s="1"/>
    </row>
    <row r="21" spans="1:16" ht="15.75" customHeight="1">
      <c r="A21" s="92">
        <v>1</v>
      </c>
      <c r="B21" s="49" t="s">
        <v>2168</v>
      </c>
      <c r="C21" s="49" t="s">
        <v>227</v>
      </c>
      <c r="D21" s="49" t="s">
        <v>751</v>
      </c>
      <c r="E21" s="49" t="s">
        <v>193</v>
      </c>
      <c r="F21" s="49"/>
      <c r="G21" s="49" t="s">
        <v>35</v>
      </c>
      <c r="H21" s="50">
        <v>5000</v>
      </c>
      <c r="I21" s="55">
        <v>1000</v>
      </c>
      <c r="J21" s="49" t="s">
        <v>36</v>
      </c>
      <c r="K21" s="49" t="s">
        <v>37</v>
      </c>
      <c r="L21" s="3"/>
      <c r="M21" s="4">
        <v>1000</v>
      </c>
      <c r="N21" s="4"/>
      <c r="O21" s="1"/>
      <c r="P21" s="1"/>
    </row>
    <row r="22" spans="1:16" ht="15.75" customHeight="1">
      <c r="A22" s="129">
        <v>1</v>
      </c>
      <c r="B22" s="101" t="s">
        <v>2353</v>
      </c>
      <c r="C22" s="101" t="s">
        <v>246</v>
      </c>
      <c r="D22" s="101"/>
      <c r="E22" s="101" t="s">
        <v>75</v>
      </c>
      <c r="F22" s="101"/>
      <c r="G22" s="101" t="s">
        <v>103</v>
      </c>
      <c r="H22" s="101" t="s">
        <v>2354</v>
      </c>
      <c r="I22" s="102">
        <v>11520</v>
      </c>
      <c r="J22" s="49" t="s">
        <v>36</v>
      </c>
      <c r="K22" s="49" t="s">
        <v>37</v>
      </c>
      <c r="L22" s="1"/>
      <c r="M22" s="1"/>
      <c r="N22" s="1"/>
      <c r="O22" s="1"/>
      <c r="P22" s="1"/>
    </row>
    <row r="23" spans="1:16" ht="15.75" customHeight="1">
      <c r="A23" s="130">
        <v>2</v>
      </c>
      <c r="B23" s="17" t="s">
        <v>2355</v>
      </c>
      <c r="C23" s="17" t="s">
        <v>227</v>
      </c>
      <c r="D23" s="17" t="s">
        <v>290</v>
      </c>
      <c r="E23" s="17" t="s">
        <v>232</v>
      </c>
      <c r="F23" s="17"/>
      <c r="G23" s="17" t="s">
        <v>35</v>
      </c>
      <c r="H23" s="116">
        <v>1000</v>
      </c>
      <c r="I23" s="105">
        <v>200</v>
      </c>
      <c r="J23" s="49" t="s">
        <v>36</v>
      </c>
      <c r="K23" s="49" t="s">
        <v>37</v>
      </c>
      <c r="L23" s="1"/>
      <c r="M23" s="1">
        <v>600</v>
      </c>
      <c r="N23" s="1"/>
      <c r="O23" s="1"/>
      <c r="P23" s="1"/>
    </row>
    <row r="24" spans="1:16" ht="15.75" customHeight="1">
      <c r="A24" s="92">
        <v>2</v>
      </c>
      <c r="B24" s="49" t="s">
        <v>2356</v>
      </c>
      <c r="C24" s="49" t="s">
        <v>227</v>
      </c>
      <c r="D24" s="49" t="s">
        <v>2357</v>
      </c>
      <c r="E24" s="49" t="s">
        <v>254</v>
      </c>
      <c r="F24" s="49"/>
      <c r="G24" s="49" t="s">
        <v>120</v>
      </c>
      <c r="H24" s="49">
        <v>20</v>
      </c>
      <c r="I24" s="55">
        <v>200</v>
      </c>
      <c r="J24" s="49" t="s">
        <v>36</v>
      </c>
      <c r="K24" s="49" t="s">
        <v>37</v>
      </c>
      <c r="L24" s="1"/>
      <c r="M24" s="1"/>
      <c r="N24" s="1"/>
      <c r="O24" s="1"/>
      <c r="P24" s="1"/>
    </row>
    <row r="25" spans="1:16" ht="15.75" customHeight="1">
      <c r="A25" s="92">
        <v>2</v>
      </c>
      <c r="B25" s="49" t="s">
        <v>2358</v>
      </c>
      <c r="C25" s="49" t="s">
        <v>227</v>
      </c>
      <c r="D25" s="49" t="s">
        <v>1081</v>
      </c>
      <c r="E25" s="49" t="s">
        <v>235</v>
      </c>
      <c r="F25" s="49"/>
      <c r="G25" s="49" t="s">
        <v>35</v>
      </c>
      <c r="H25" s="49">
        <v>100</v>
      </c>
      <c r="I25" s="55">
        <v>20</v>
      </c>
      <c r="J25" s="49" t="s">
        <v>36</v>
      </c>
      <c r="K25" s="49" t="s">
        <v>37</v>
      </c>
      <c r="L25" s="1"/>
      <c r="M25" s="1">
        <v>20</v>
      </c>
      <c r="N25" s="1"/>
      <c r="O25" s="1"/>
      <c r="P25" s="1"/>
    </row>
    <row r="26" spans="1:16" ht="15.75" customHeight="1">
      <c r="A26" s="92">
        <v>2</v>
      </c>
      <c r="B26" s="49" t="s">
        <v>2359</v>
      </c>
      <c r="C26" s="49" t="s">
        <v>227</v>
      </c>
      <c r="D26" s="49" t="s">
        <v>1712</v>
      </c>
      <c r="E26" s="49" t="s">
        <v>33</v>
      </c>
      <c r="F26" s="49"/>
      <c r="G26" s="49" t="s">
        <v>35</v>
      </c>
      <c r="H26" s="50">
        <v>3000</v>
      </c>
      <c r="I26" s="55">
        <v>600</v>
      </c>
      <c r="J26" s="49" t="s">
        <v>36</v>
      </c>
      <c r="K26" s="49" t="s">
        <v>37</v>
      </c>
      <c r="L26" s="1"/>
      <c r="M26" s="1">
        <v>300</v>
      </c>
      <c r="N26" s="1"/>
      <c r="O26" s="1"/>
      <c r="P26" s="1"/>
    </row>
    <row r="27" spans="1:16" ht="15.75" customHeight="1">
      <c r="A27" s="92">
        <v>2</v>
      </c>
      <c r="B27" s="49" t="s">
        <v>2359</v>
      </c>
      <c r="C27" s="49" t="s">
        <v>227</v>
      </c>
      <c r="D27" s="49" t="s">
        <v>1712</v>
      </c>
      <c r="E27" s="49" t="s">
        <v>33</v>
      </c>
      <c r="F27" s="49"/>
      <c r="G27" s="49" t="s">
        <v>120</v>
      </c>
      <c r="H27" s="49">
        <v>10</v>
      </c>
      <c r="I27" s="55">
        <v>100</v>
      </c>
      <c r="J27" s="49" t="s">
        <v>36</v>
      </c>
      <c r="K27" s="49" t="s">
        <v>37</v>
      </c>
      <c r="L27" s="1"/>
      <c r="M27" s="1"/>
      <c r="N27" s="1"/>
      <c r="O27" s="1"/>
      <c r="P27" s="1"/>
    </row>
    <row r="28" spans="1:16" ht="15.75" customHeight="1">
      <c r="A28" s="92">
        <v>2</v>
      </c>
      <c r="B28" s="49" t="s">
        <v>367</v>
      </c>
      <c r="C28" s="49" t="s">
        <v>227</v>
      </c>
      <c r="D28" s="49" t="s">
        <v>231</v>
      </c>
      <c r="E28" s="49" t="s">
        <v>232</v>
      </c>
      <c r="F28" s="49"/>
      <c r="G28" s="49" t="s">
        <v>35</v>
      </c>
      <c r="H28" s="50">
        <v>2000</v>
      </c>
      <c r="I28" s="55">
        <v>400</v>
      </c>
      <c r="J28" s="49" t="s">
        <v>36</v>
      </c>
      <c r="K28" s="49" t="s">
        <v>37</v>
      </c>
      <c r="L28" s="1"/>
      <c r="M28" s="1">
        <v>300</v>
      </c>
      <c r="N28" s="1"/>
      <c r="O28" s="1"/>
      <c r="P28" s="1"/>
    </row>
    <row r="29" spans="1:16" ht="15.75" customHeight="1">
      <c r="A29" s="92">
        <v>2</v>
      </c>
      <c r="B29" s="49" t="s">
        <v>2360</v>
      </c>
      <c r="C29" s="49" t="s">
        <v>227</v>
      </c>
      <c r="D29" s="49" t="s">
        <v>385</v>
      </c>
      <c r="E29" s="49" t="s">
        <v>232</v>
      </c>
      <c r="F29" s="49"/>
      <c r="G29" s="49" t="s">
        <v>35</v>
      </c>
      <c r="H29" s="49">
        <v>400</v>
      </c>
      <c r="I29" s="55">
        <v>80</v>
      </c>
      <c r="J29" s="49" t="s">
        <v>36</v>
      </c>
      <c r="K29" s="49" t="s">
        <v>37</v>
      </c>
      <c r="L29" s="1"/>
      <c r="M29" s="1">
        <v>100</v>
      </c>
      <c r="N29" s="1"/>
      <c r="O29" s="1"/>
      <c r="P29" s="1"/>
    </row>
    <row r="30" spans="1:16" ht="15.75" customHeight="1">
      <c r="A30" s="92">
        <v>2</v>
      </c>
      <c r="B30" s="49" t="s">
        <v>2361</v>
      </c>
      <c r="C30" s="49" t="s">
        <v>246</v>
      </c>
      <c r="D30" s="49" t="s">
        <v>679</v>
      </c>
      <c r="E30" s="49" t="s">
        <v>232</v>
      </c>
      <c r="F30" s="49"/>
      <c r="G30" s="49" t="s">
        <v>35</v>
      </c>
      <c r="H30" s="49">
        <v>100</v>
      </c>
      <c r="I30" s="55">
        <v>20</v>
      </c>
      <c r="J30" s="49" t="s">
        <v>36</v>
      </c>
      <c r="K30" s="49" t="s">
        <v>37</v>
      </c>
      <c r="L30" s="1"/>
      <c r="M30" s="1">
        <v>20</v>
      </c>
      <c r="N30" s="1"/>
      <c r="O30" s="1"/>
      <c r="P30" s="1"/>
    </row>
    <row r="31" spans="1:16" ht="15.75" customHeight="1">
      <c r="A31" s="92">
        <v>2</v>
      </c>
      <c r="B31" s="49" t="s">
        <v>2362</v>
      </c>
      <c r="C31" s="49" t="s">
        <v>227</v>
      </c>
      <c r="D31" s="49" t="s">
        <v>607</v>
      </c>
      <c r="E31" s="49" t="s">
        <v>235</v>
      </c>
      <c r="F31" s="49"/>
      <c r="G31" s="49" t="s">
        <v>35</v>
      </c>
      <c r="H31" s="50">
        <v>1000</v>
      </c>
      <c r="I31" s="55">
        <v>200</v>
      </c>
      <c r="J31" s="49" t="s">
        <v>36</v>
      </c>
      <c r="K31" s="49" t="s">
        <v>37</v>
      </c>
      <c r="L31" s="1"/>
      <c r="M31" s="1">
        <v>200</v>
      </c>
      <c r="N31" s="1"/>
      <c r="O31" s="1"/>
      <c r="P31" s="1"/>
    </row>
    <row r="32" spans="1:16" ht="15.75" customHeight="1">
      <c r="A32" s="92">
        <v>2</v>
      </c>
      <c r="B32" s="49" t="s">
        <v>2363</v>
      </c>
      <c r="C32" s="49" t="s">
        <v>227</v>
      </c>
      <c r="D32" s="49" t="s">
        <v>295</v>
      </c>
      <c r="E32" s="49" t="s">
        <v>248</v>
      </c>
      <c r="F32" s="49"/>
      <c r="G32" s="49" t="s">
        <v>35</v>
      </c>
      <c r="H32" s="50">
        <v>3000</v>
      </c>
      <c r="I32" s="55">
        <v>600</v>
      </c>
      <c r="J32" s="49" t="s">
        <v>36</v>
      </c>
      <c r="K32" s="49" t="s">
        <v>37</v>
      </c>
      <c r="L32" s="1"/>
      <c r="M32" s="1">
        <v>600</v>
      </c>
      <c r="N32" s="1"/>
      <c r="O32" s="1"/>
      <c r="P32" s="1"/>
    </row>
    <row r="33" spans="1:16" ht="15.75" customHeight="1">
      <c r="A33" s="92">
        <v>2</v>
      </c>
      <c r="B33" s="49" t="s">
        <v>2364</v>
      </c>
      <c r="C33" s="49" t="s">
        <v>227</v>
      </c>
      <c r="D33" s="49" t="s">
        <v>32</v>
      </c>
      <c r="E33" s="49" t="s">
        <v>115</v>
      </c>
      <c r="F33" s="49"/>
      <c r="G33" s="49" t="s">
        <v>35</v>
      </c>
      <c r="H33" s="50">
        <v>2000</v>
      </c>
      <c r="I33" s="55">
        <v>600</v>
      </c>
      <c r="J33" s="49" t="s">
        <v>36</v>
      </c>
      <c r="K33" s="49" t="s">
        <v>37</v>
      </c>
      <c r="L33" s="1"/>
      <c r="M33" s="1">
        <v>400</v>
      </c>
      <c r="N33" s="1"/>
      <c r="O33" s="1"/>
      <c r="P33" s="1"/>
    </row>
    <row r="34" spans="1:16" ht="15.75" customHeight="1">
      <c r="A34" s="92">
        <v>2</v>
      </c>
      <c r="B34" s="49" t="s">
        <v>2365</v>
      </c>
      <c r="C34" s="49" t="s">
        <v>227</v>
      </c>
      <c r="D34" s="49" t="s">
        <v>33</v>
      </c>
      <c r="E34" s="49" t="s">
        <v>507</v>
      </c>
      <c r="F34" s="49"/>
      <c r="G34" s="49" t="s">
        <v>35</v>
      </c>
      <c r="H34" s="50">
        <v>1000</v>
      </c>
      <c r="I34" s="55">
        <v>200</v>
      </c>
      <c r="J34" s="49" t="s">
        <v>36</v>
      </c>
      <c r="K34" s="49" t="s">
        <v>37</v>
      </c>
      <c r="L34" s="1"/>
      <c r="M34" s="1">
        <v>300</v>
      </c>
      <c r="N34" s="1"/>
      <c r="O34" s="1"/>
      <c r="P34" s="1"/>
    </row>
    <row r="35" spans="1:16" ht="15.75" customHeight="1">
      <c r="A35" s="92">
        <v>2</v>
      </c>
      <c r="B35" s="49" t="s">
        <v>2366</v>
      </c>
      <c r="C35" s="49" t="s">
        <v>227</v>
      </c>
      <c r="D35" s="49" t="s">
        <v>2367</v>
      </c>
      <c r="E35" s="49" t="s">
        <v>142</v>
      </c>
      <c r="F35" s="49"/>
      <c r="G35" s="49" t="s">
        <v>35</v>
      </c>
      <c r="H35" s="49">
        <v>100</v>
      </c>
      <c r="I35" s="55">
        <v>20</v>
      </c>
      <c r="J35" s="49" t="s">
        <v>36</v>
      </c>
      <c r="K35" s="49" t="s">
        <v>37</v>
      </c>
      <c r="L35" s="1"/>
      <c r="M35" s="1">
        <v>100</v>
      </c>
      <c r="N35" s="1"/>
      <c r="O35" s="1"/>
      <c r="P35" s="1"/>
    </row>
    <row r="36" spans="1:16" ht="15.75" customHeight="1">
      <c r="A36" s="92">
        <v>2</v>
      </c>
      <c r="B36" s="49" t="s">
        <v>2366</v>
      </c>
      <c r="C36" s="49" t="s">
        <v>227</v>
      </c>
      <c r="D36" s="49" t="s">
        <v>2367</v>
      </c>
      <c r="E36" s="49" t="s">
        <v>142</v>
      </c>
      <c r="F36" s="49"/>
      <c r="G36" s="49" t="s">
        <v>120</v>
      </c>
      <c r="H36" s="49">
        <v>10</v>
      </c>
      <c r="I36" s="55">
        <v>100</v>
      </c>
      <c r="J36" s="49" t="s">
        <v>36</v>
      </c>
      <c r="K36" s="49" t="s">
        <v>37</v>
      </c>
      <c r="L36" s="1"/>
      <c r="M36" s="1"/>
      <c r="N36" s="1"/>
      <c r="O36" s="1"/>
      <c r="P36" s="1"/>
    </row>
    <row r="37" spans="1:16" ht="15.75" customHeight="1">
      <c r="A37" s="129">
        <v>2</v>
      </c>
      <c r="B37" s="101" t="s">
        <v>465</v>
      </c>
      <c r="C37" s="101" t="s">
        <v>227</v>
      </c>
      <c r="D37" s="101" t="s">
        <v>466</v>
      </c>
      <c r="E37" s="101" t="s">
        <v>467</v>
      </c>
      <c r="F37" s="101"/>
      <c r="G37" s="101" t="s">
        <v>120</v>
      </c>
      <c r="H37" s="101">
        <v>100</v>
      </c>
      <c r="I37" s="102">
        <v>1000</v>
      </c>
      <c r="J37" s="49" t="s">
        <v>36</v>
      </c>
      <c r="K37" s="49" t="s">
        <v>37</v>
      </c>
      <c r="L37" s="1"/>
      <c r="M37" s="1"/>
      <c r="N37" s="1"/>
      <c r="O37" s="1"/>
      <c r="P37" s="1"/>
    </row>
    <row r="38" spans="1:16" ht="15.75" customHeight="1">
      <c r="A38" s="130">
        <v>3</v>
      </c>
      <c r="B38" s="17" t="s">
        <v>2368</v>
      </c>
      <c r="C38" s="17" t="s">
        <v>227</v>
      </c>
      <c r="D38" s="17" t="s">
        <v>239</v>
      </c>
      <c r="E38" s="17" t="s">
        <v>232</v>
      </c>
      <c r="F38" s="17"/>
      <c r="G38" s="17" t="s">
        <v>35</v>
      </c>
      <c r="H38" s="17">
        <v>300</v>
      </c>
      <c r="I38" s="105">
        <v>120</v>
      </c>
      <c r="J38" s="17" t="s">
        <v>36</v>
      </c>
      <c r="K38" s="17" t="s">
        <v>37</v>
      </c>
      <c r="L38" s="1"/>
      <c r="M38" s="1">
        <v>80</v>
      </c>
      <c r="N38" s="1"/>
      <c r="O38" s="1"/>
      <c r="P38" s="1"/>
    </row>
    <row r="39" spans="1:16" ht="15.75" customHeight="1">
      <c r="A39" s="92">
        <v>3</v>
      </c>
      <c r="B39" s="49" t="s">
        <v>2369</v>
      </c>
      <c r="C39" s="49" t="s">
        <v>227</v>
      </c>
      <c r="D39" s="49" t="s">
        <v>2370</v>
      </c>
      <c r="E39" s="49" t="s">
        <v>152</v>
      </c>
      <c r="F39" s="49"/>
      <c r="G39" s="49" t="s">
        <v>35</v>
      </c>
      <c r="H39" s="49">
        <v>200</v>
      </c>
      <c r="I39" s="55">
        <v>40</v>
      </c>
      <c r="J39" s="49" t="s">
        <v>36</v>
      </c>
      <c r="K39" s="49" t="s">
        <v>37</v>
      </c>
      <c r="L39" s="1"/>
      <c r="M39" s="1">
        <v>20</v>
      </c>
      <c r="N39" s="1"/>
      <c r="O39" s="1"/>
      <c r="P39" s="1"/>
    </row>
    <row r="40" spans="1:16" ht="15.75" customHeight="1">
      <c r="A40" s="92">
        <v>3</v>
      </c>
      <c r="B40" s="49" t="s">
        <v>2371</v>
      </c>
      <c r="C40" s="49" t="s">
        <v>227</v>
      </c>
      <c r="D40" s="49" t="s">
        <v>607</v>
      </c>
      <c r="E40" s="49" t="s">
        <v>235</v>
      </c>
      <c r="F40" s="49"/>
      <c r="G40" s="49" t="s">
        <v>35</v>
      </c>
      <c r="H40" s="49">
        <v>450</v>
      </c>
      <c r="I40" s="55">
        <v>90</v>
      </c>
      <c r="J40" s="49" t="s">
        <v>36</v>
      </c>
      <c r="K40" s="49" t="s">
        <v>37</v>
      </c>
      <c r="L40" s="1"/>
      <c r="M40" s="1">
        <v>144</v>
      </c>
      <c r="N40" s="1"/>
      <c r="O40" s="1"/>
      <c r="P40" s="1"/>
    </row>
    <row r="41" spans="1:16" ht="15.75" customHeight="1">
      <c r="A41" s="92">
        <v>3</v>
      </c>
      <c r="B41" s="49" t="s">
        <v>726</v>
      </c>
      <c r="C41" s="49" t="s">
        <v>227</v>
      </c>
      <c r="D41" s="49" t="s">
        <v>295</v>
      </c>
      <c r="E41" s="49" t="s">
        <v>248</v>
      </c>
      <c r="F41" s="49"/>
      <c r="G41" s="49" t="s">
        <v>35</v>
      </c>
      <c r="H41" s="50">
        <v>2000</v>
      </c>
      <c r="I41" s="55">
        <v>400</v>
      </c>
      <c r="J41" s="49" t="s">
        <v>36</v>
      </c>
      <c r="K41" s="49" t="s">
        <v>37</v>
      </c>
      <c r="L41" s="1"/>
      <c r="M41" s="1">
        <v>400</v>
      </c>
      <c r="N41" s="1"/>
      <c r="O41" s="1"/>
      <c r="P41" s="1"/>
    </row>
    <row r="42" spans="1:16" ht="15.75" customHeight="1">
      <c r="A42" s="92">
        <v>3</v>
      </c>
      <c r="B42" s="49" t="s">
        <v>2372</v>
      </c>
      <c r="C42" s="49" t="s">
        <v>227</v>
      </c>
      <c r="D42" s="49" t="s">
        <v>280</v>
      </c>
      <c r="E42" s="49" t="s">
        <v>281</v>
      </c>
      <c r="F42" s="49"/>
      <c r="G42" s="49" t="s">
        <v>35</v>
      </c>
      <c r="H42" s="50">
        <v>1000</v>
      </c>
      <c r="I42" s="55">
        <v>200</v>
      </c>
      <c r="J42" s="49" t="s">
        <v>36</v>
      </c>
      <c r="K42" s="49" t="s">
        <v>37</v>
      </c>
      <c r="L42" s="1"/>
      <c r="M42" s="1">
        <v>200</v>
      </c>
      <c r="N42" s="1"/>
      <c r="O42" s="1"/>
      <c r="P42" s="1"/>
    </row>
    <row r="43" spans="1:16" ht="15.75" customHeight="1">
      <c r="A43" s="92">
        <v>3</v>
      </c>
      <c r="B43" s="49" t="s">
        <v>2373</v>
      </c>
      <c r="C43" s="49" t="s">
        <v>227</v>
      </c>
      <c r="D43" s="49" t="s">
        <v>464</v>
      </c>
      <c r="E43" s="49" t="s">
        <v>321</v>
      </c>
      <c r="F43" s="49"/>
      <c r="G43" s="49" t="s">
        <v>35</v>
      </c>
      <c r="H43" s="50">
        <v>1500</v>
      </c>
      <c r="I43" s="55">
        <v>450</v>
      </c>
      <c r="J43" s="49" t="s">
        <v>36</v>
      </c>
      <c r="K43" s="49" t="s">
        <v>37</v>
      </c>
      <c r="L43" s="1"/>
      <c r="M43" s="4">
        <v>10000</v>
      </c>
      <c r="N43" s="4"/>
      <c r="O43" s="1"/>
      <c r="P43" s="1"/>
    </row>
    <row r="44" spans="1:16" ht="15.75" customHeight="1">
      <c r="A44" s="92">
        <v>3</v>
      </c>
      <c r="B44" s="49" t="s">
        <v>2373</v>
      </c>
      <c r="C44" s="49" t="s">
        <v>227</v>
      </c>
      <c r="D44" s="49" t="s">
        <v>464</v>
      </c>
      <c r="E44" s="49" t="s">
        <v>321</v>
      </c>
      <c r="F44" s="49"/>
      <c r="G44" s="49" t="s">
        <v>35</v>
      </c>
      <c r="H44" s="49">
        <v>500</v>
      </c>
      <c r="I44" s="55"/>
      <c r="J44" s="49" t="s">
        <v>43</v>
      </c>
      <c r="K44" s="49"/>
      <c r="L44" s="1"/>
      <c r="M44" s="1"/>
      <c r="N44" s="1"/>
      <c r="O44" s="1"/>
      <c r="P44" s="1"/>
    </row>
    <row r="45" spans="1:16" ht="15.75" customHeight="1">
      <c r="A45" s="49">
        <v>3</v>
      </c>
      <c r="B45" s="49" t="s">
        <v>2223</v>
      </c>
      <c r="C45" s="49" t="s">
        <v>246</v>
      </c>
      <c r="D45" s="49" t="s">
        <v>679</v>
      </c>
      <c r="E45" s="49" t="s">
        <v>232</v>
      </c>
      <c r="F45" s="49"/>
      <c r="G45" s="49" t="s">
        <v>35</v>
      </c>
      <c r="H45" s="50">
        <v>4000</v>
      </c>
      <c r="I45" s="55">
        <v>800</v>
      </c>
      <c r="J45" s="49" t="s">
        <v>36</v>
      </c>
      <c r="K45" s="49" t="s">
        <v>37</v>
      </c>
      <c r="L45" s="1"/>
      <c r="M45" s="1">
        <v>400</v>
      </c>
      <c r="N45" s="1"/>
      <c r="O45" s="1"/>
      <c r="P45" s="1"/>
    </row>
    <row r="46" spans="1:16" ht="15.75" customHeight="1">
      <c r="A46" s="49">
        <v>3</v>
      </c>
      <c r="B46" s="49" t="s">
        <v>2223</v>
      </c>
      <c r="C46" s="49" t="s">
        <v>246</v>
      </c>
      <c r="D46" s="49" t="s">
        <v>679</v>
      </c>
      <c r="E46" s="49" t="s">
        <v>232</v>
      </c>
      <c r="F46" s="49"/>
      <c r="G46" s="49" t="s">
        <v>120</v>
      </c>
      <c r="H46" s="49">
        <v>15</v>
      </c>
      <c r="I46" s="55">
        <v>150</v>
      </c>
      <c r="J46" s="49" t="s">
        <v>36</v>
      </c>
      <c r="K46" s="49" t="s">
        <v>37</v>
      </c>
      <c r="L46" s="1"/>
      <c r="M46" s="1"/>
      <c r="N46" s="1"/>
      <c r="O46" s="1"/>
      <c r="P46" s="1"/>
    </row>
    <row r="47" spans="1:16" ht="15.75" customHeight="1">
      <c r="A47" s="101">
        <v>3</v>
      </c>
      <c r="B47" s="101" t="s">
        <v>2237</v>
      </c>
      <c r="C47" s="101" t="s">
        <v>227</v>
      </c>
      <c r="D47" s="101" t="s">
        <v>858</v>
      </c>
      <c r="E47" s="101" t="s">
        <v>232</v>
      </c>
      <c r="F47" s="101"/>
      <c r="G47" s="101" t="s">
        <v>35</v>
      </c>
      <c r="H47" s="114">
        <v>5000</v>
      </c>
      <c r="I47" s="102">
        <v>1000</v>
      </c>
      <c r="J47" s="49" t="s">
        <v>36</v>
      </c>
      <c r="K47" s="49" t="s">
        <v>37</v>
      </c>
      <c r="L47" s="1"/>
      <c r="M47" s="4">
        <v>1000</v>
      </c>
      <c r="N47" s="4"/>
      <c r="O47" s="1"/>
      <c r="P47" s="1"/>
    </row>
    <row r="48" spans="1:16" ht="15.75" customHeight="1">
      <c r="A48" s="131">
        <v>5</v>
      </c>
      <c r="B48" s="131" t="s">
        <v>2374</v>
      </c>
      <c r="C48" s="131" t="s">
        <v>227</v>
      </c>
      <c r="D48" s="131" t="s">
        <v>2375</v>
      </c>
      <c r="E48" s="131" t="s">
        <v>106</v>
      </c>
      <c r="F48" s="131"/>
      <c r="G48" s="131" t="s">
        <v>35</v>
      </c>
      <c r="H48" s="132">
        <v>3000</v>
      </c>
      <c r="I48" s="133"/>
      <c r="J48" s="131" t="s">
        <v>43</v>
      </c>
      <c r="K48" s="131" t="s">
        <v>37</v>
      </c>
      <c r="L48" s="1"/>
      <c r="M48" s="4">
        <v>600</v>
      </c>
      <c r="N48" s="4"/>
      <c r="O48" s="1"/>
      <c r="P48" s="1"/>
    </row>
    <row r="49" spans="1:16" ht="15.75" customHeight="1">
      <c r="A49" s="131">
        <v>6</v>
      </c>
      <c r="B49" s="131" t="s">
        <v>2376</v>
      </c>
      <c r="C49" s="131" t="s">
        <v>246</v>
      </c>
      <c r="D49" s="131" t="s">
        <v>385</v>
      </c>
      <c r="E49" s="131" t="s">
        <v>232</v>
      </c>
      <c r="F49" s="131"/>
      <c r="G49" s="131" t="s">
        <v>35</v>
      </c>
      <c r="H49" s="132">
        <v>500</v>
      </c>
      <c r="I49" s="133"/>
      <c r="J49" s="131" t="s">
        <v>43</v>
      </c>
      <c r="K49" s="131" t="s">
        <v>37</v>
      </c>
      <c r="L49" s="1"/>
      <c r="M49" s="4">
        <v>50</v>
      </c>
      <c r="N49" s="4"/>
      <c r="O49" s="1"/>
      <c r="P49" s="1"/>
    </row>
    <row r="50" spans="1:16" ht="15.75" customHeight="1">
      <c r="A50" s="17">
        <v>7</v>
      </c>
      <c r="B50" s="17" t="s">
        <v>2377</v>
      </c>
      <c r="C50" s="17" t="s">
        <v>246</v>
      </c>
      <c r="D50" s="17" t="s">
        <v>280</v>
      </c>
      <c r="E50" s="17" t="s">
        <v>281</v>
      </c>
      <c r="F50" s="17"/>
      <c r="G50" s="17" t="s">
        <v>35</v>
      </c>
      <c r="H50" s="116">
        <v>1000</v>
      </c>
      <c r="I50" s="105">
        <v>200</v>
      </c>
      <c r="J50" s="17" t="s">
        <v>36</v>
      </c>
      <c r="K50" s="17" t="s">
        <v>37</v>
      </c>
      <c r="L50" s="1"/>
      <c r="M50" s="4">
        <v>200</v>
      </c>
      <c r="N50" s="4"/>
      <c r="O50" s="1"/>
      <c r="P50" s="1"/>
    </row>
    <row r="51" spans="1:16" ht="15.75" customHeight="1">
      <c r="A51" s="49">
        <v>7</v>
      </c>
      <c r="B51" s="49" t="s">
        <v>2378</v>
      </c>
      <c r="C51" s="49" t="s">
        <v>227</v>
      </c>
      <c r="D51" s="49" t="s">
        <v>2379</v>
      </c>
      <c r="E51" s="49" t="s">
        <v>323</v>
      </c>
      <c r="F51" s="49"/>
      <c r="G51" s="49" t="s">
        <v>35</v>
      </c>
      <c r="H51" s="50">
        <v>200</v>
      </c>
      <c r="I51" s="55">
        <v>40</v>
      </c>
      <c r="J51" s="49" t="s">
        <v>36</v>
      </c>
      <c r="K51" s="49" t="s">
        <v>37</v>
      </c>
      <c r="L51" s="1"/>
      <c r="M51" s="4">
        <v>40</v>
      </c>
      <c r="N51" s="4"/>
      <c r="O51" s="1"/>
      <c r="P51" s="1"/>
    </row>
    <row r="52" spans="1:16" ht="15.75" customHeight="1">
      <c r="A52" s="49">
        <v>7</v>
      </c>
      <c r="B52" s="49" t="s">
        <v>2380</v>
      </c>
      <c r="C52" s="49" t="s">
        <v>227</v>
      </c>
      <c r="D52" s="49"/>
      <c r="E52" s="49" t="s">
        <v>1395</v>
      </c>
      <c r="F52" s="49"/>
      <c r="G52" s="49" t="s">
        <v>35</v>
      </c>
      <c r="H52" s="50">
        <v>400</v>
      </c>
      <c r="I52" s="55"/>
      <c r="J52" s="49" t="s">
        <v>43</v>
      </c>
      <c r="K52" s="49" t="s">
        <v>37</v>
      </c>
      <c r="L52" s="1"/>
      <c r="M52" s="4">
        <v>80</v>
      </c>
      <c r="N52" s="4"/>
      <c r="O52" s="1"/>
      <c r="P52" s="1"/>
    </row>
    <row r="53" spans="1:16" ht="15.75" customHeight="1">
      <c r="A53" s="49">
        <v>7</v>
      </c>
      <c r="B53" s="49" t="s">
        <v>2381</v>
      </c>
      <c r="C53" s="49" t="s">
        <v>227</v>
      </c>
      <c r="D53" s="49" t="s">
        <v>2382</v>
      </c>
      <c r="E53" s="49" t="s">
        <v>51</v>
      </c>
      <c r="F53" s="49"/>
      <c r="G53" s="49" t="s">
        <v>35</v>
      </c>
      <c r="H53" s="50">
        <v>300</v>
      </c>
      <c r="I53" s="55">
        <v>60</v>
      </c>
      <c r="J53" s="49" t="s">
        <v>36</v>
      </c>
      <c r="K53" s="49" t="s">
        <v>37</v>
      </c>
      <c r="L53" s="1"/>
      <c r="M53" s="4">
        <v>50</v>
      </c>
      <c r="N53" s="4"/>
      <c r="O53" s="1"/>
      <c r="P53" s="1"/>
    </row>
    <row r="54" spans="1:16" ht="15.75" customHeight="1">
      <c r="A54" s="49">
        <v>7</v>
      </c>
      <c r="B54" s="49" t="s">
        <v>2383</v>
      </c>
      <c r="C54" s="49" t="s">
        <v>227</v>
      </c>
      <c r="D54" s="49" t="s">
        <v>32</v>
      </c>
      <c r="E54" s="49" t="s">
        <v>115</v>
      </c>
      <c r="F54" s="49"/>
      <c r="G54" s="49" t="s">
        <v>35</v>
      </c>
      <c r="H54" s="50">
        <v>5200</v>
      </c>
      <c r="I54" s="55">
        <v>1560</v>
      </c>
      <c r="J54" s="49" t="s">
        <v>36</v>
      </c>
      <c r="K54" s="49" t="s">
        <v>37</v>
      </c>
      <c r="L54" s="1"/>
      <c r="M54" s="4">
        <v>1000</v>
      </c>
      <c r="N54" s="4"/>
      <c r="O54" s="1"/>
      <c r="P54" s="1"/>
    </row>
    <row r="55" spans="1:16" ht="15.75" customHeight="1">
      <c r="A55" s="49">
        <v>7</v>
      </c>
      <c r="B55" s="49" t="s">
        <v>2383</v>
      </c>
      <c r="C55" s="49" t="s">
        <v>227</v>
      </c>
      <c r="D55" s="49" t="s">
        <v>32</v>
      </c>
      <c r="E55" s="49" t="s">
        <v>115</v>
      </c>
      <c r="F55" s="49"/>
      <c r="G55" s="49" t="s">
        <v>35</v>
      </c>
      <c r="H55" s="50">
        <v>3600</v>
      </c>
      <c r="I55" s="55">
        <v>1440</v>
      </c>
      <c r="J55" s="49" t="s">
        <v>36</v>
      </c>
      <c r="K55" s="49" t="s">
        <v>37</v>
      </c>
      <c r="L55" s="1"/>
      <c r="M55" s="4">
        <v>600</v>
      </c>
      <c r="N55" s="4"/>
      <c r="O55" s="1"/>
      <c r="P55" s="1"/>
    </row>
    <row r="56" spans="1:16" ht="15.75" customHeight="1">
      <c r="A56" s="49">
        <v>7</v>
      </c>
      <c r="B56" s="49" t="s">
        <v>2384</v>
      </c>
      <c r="C56" s="49" t="s">
        <v>227</v>
      </c>
      <c r="D56" s="49" t="s">
        <v>598</v>
      </c>
      <c r="E56" s="49" t="s">
        <v>232</v>
      </c>
      <c r="F56" s="49"/>
      <c r="G56" s="49" t="s">
        <v>35</v>
      </c>
      <c r="H56" s="50">
        <v>300</v>
      </c>
      <c r="I56" s="55">
        <v>90</v>
      </c>
      <c r="J56" s="49" t="s">
        <v>36</v>
      </c>
      <c r="K56" s="49" t="s">
        <v>37</v>
      </c>
      <c r="L56" s="4"/>
      <c r="M56" s="4">
        <v>60</v>
      </c>
      <c r="N56" s="4"/>
      <c r="O56" s="1"/>
      <c r="P56" s="1"/>
    </row>
    <row r="57" spans="1:16" ht="15.75" customHeight="1">
      <c r="A57" s="49">
        <v>7</v>
      </c>
      <c r="B57" s="49" t="s">
        <v>2384</v>
      </c>
      <c r="C57" s="49" t="s">
        <v>227</v>
      </c>
      <c r="D57" s="49" t="s">
        <v>598</v>
      </c>
      <c r="E57" s="49" t="s">
        <v>232</v>
      </c>
      <c r="F57" s="49"/>
      <c r="G57" s="49" t="s">
        <v>120</v>
      </c>
      <c r="H57" s="50">
        <v>15</v>
      </c>
      <c r="I57" s="55">
        <v>150</v>
      </c>
      <c r="J57" s="49" t="s">
        <v>36</v>
      </c>
      <c r="K57" s="49" t="s">
        <v>37</v>
      </c>
      <c r="L57" s="4"/>
      <c r="M57" s="4"/>
      <c r="N57" s="4"/>
      <c r="O57" s="1"/>
      <c r="P57" s="1"/>
    </row>
    <row r="58" spans="1:16" ht="15.75" customHeight="1">
      <c r="A58" s="49">
        <v>7</v>
      </c>
      <c r="B58" s="49" t="s">
        <v>344</v>
      </c>
      <c r="C58" s="49" t="s">
        <v>227</v>
      </c>
      <c r="D58" s="49" t="s">
        <v>345</v>
      </c>
      <c r="E58" s="49" t="s">
        <v>41</v>
      </c>
      <c r="F58" s="49"/>
      <c r="G58" s="49" t="s">
        <v>35</v>
      </c>
      <c r="H58" s="50">
        <v>2000</v>
      </c>
      <c r="I58" s="55">
        <v>400</v>
      </c>
      <c r="J58" s="49" t="s">
        <v>36</v>
      </c>
      <c r="K58" s="49" t="s">
        <v>37</v>
      </c>
      <c r="L58" s="1"/>
      <c r="M58" s="4">
        <v>600</v>
      </c>
      <c r="N58" s="4"/>
      <c r="O58" s="1"/>
      <c r="P58" s="1"/>
    </row>
    <row r="59" spans="1:16" ht="15.75" customHeight="1">
      <c r="A59" s="49">
        <v>7</v>
      </c>
      <c r="B59" s="49" t="s">
        <v>2385</v>
      </c>
      <c r="C59" s="49" t="s">
        <v>227</v>
      </c>
      <c r="D59" s="49" t="s">
        <v>1245</v>
      </c>
      <c r="E59" s="49" t="s">
        <v>323</v>
      </c>
      <c r="F59" s="49"/>
      <c r="G59" s="49" t="s">
        <v>35</v>
      </c>
      <c r="H59" s="50">
        <v>1000</v>
      </c>
      <c r="I59" s="55">
        <v>200</v>
      </c>
      <c r="J59" s="49" t="s">
        <v>36</v>
      </c>
      <c r="K59" s="49" t="s">
        <v>37</v>
      </c>
      <c r="L59" s="1"/>
      <c r="M59" s="4">
        <v>100</v>
      </c>
      <c r="N59" s="4"/>
      <c r="O59" s="1"/>
      <c r="P59" s="1"/>
    </row>
    <row r="60" spans="1:16" ht="15.75" customHeight="1">
      <c r="A60" s="49">
        <v>7</v>
      </c>
      <c r="B60" s="49" t="s">
        <v>2386</v>
      </c>
      <c r="C60" s="49" t="s">
        <v>246</v>
      </c>
      <c r="D60" s="49" t="s">
        <v>1112</v>
      </c>
      <c r="E60" s="49" t="s">
        <v>199</v>
      </c>
      <c r="F60" s="49"/>
      <c r="G60" s="49" t="s">
        <v>35</v>
      </c>
      <c r="H60" s="50">
        <v>7000</v>
      </c>
      <c r="I60" s="55">
        <v>1400</v>
      </c>
      <c r="J60" s="49" t="s">
        <v>36</v>
      </c>
      <c r="K60" s="49" t="s">
        <v>37</v>
      </c>
      <c r="L60" s="1"/>
      <c r="M60" s="4">
        <v>1000</v>
      </c>
      <c r="N60" s="4"/>
      <c r="O60" s="1"/>
      <c r="P60" s="1"/>
    </row>
    <row r="61" spans="1:16" ht="15.75" customHeight="1">
      <c r="A61" s="49">
        <v>7</v>
      </c>
      <c r="B61" s="49" t="s">
        <v>2387</v>
      </c>
      <c r="C61" s="49" t="s">
        <v>227</v>
      </c>
      <c r="D61" s="49" t="s">
        <v>798</v>
      </c>
      <c r="E61" s="49" t="s">
        <v>248</v>
      </c>
      <c r="F61" s="49"/>
      <c r="G61" s="49" t="s">
        <v>35</v>
      </c>
      <c r="H61" s="50">
        <v>6000</v>
      </c>
      <c r="I61" s="55">
        <v>1200</v>
      </c>
      <c r="J61" s="49" t="s">
        <v>36</v>
      </c>
      <c r="K61" s="49" t="s">
        <v>37</v>
      </c>
      <c r="L61" s="1"/>
      <c r="M61" s="4">
        <v>1200</v>
      </c>
      <c r="N61" s="4"/>
      <c r="O61" s="1"/>
      <c r="P61" s="1"/>
    </row>
    <row r="62" spans="1:16" ht="15.75" customHeight="1">
      <c r="A62" s="49">
        <v>7</v>
      </c>
      <c r="B62" s="49" t="s">
        <v>2387</v>
      </c>
      <c r="C62" s="49" t="s">
        <v>227</v>
      </c>
      <c r="D62" s="49" t="s">
        <v>798</v>
      </c>
      <c r="E62" s="49" t="s">
        <v>248</v>
      </c>
      <c r="F62" s="49"/>
      <c r="G62" s="49" t="s">
        <v>242</v>
      </c>
      <c r="H62" s="50">
        <v>70</v>
      </c>
      <c r="I62" s="55">
        <v>210</v>
      </c>
      <c r="J62" s="49" t="s">
        <v>36</v>
      </c>
      <c r="K62" s="49" t="s">
        <v>37</v>
      </c>
      <c r="L62" s="1"/>
      <c r="M62" s="4"/>
      <c r="N62" s="4"/>
      <c r="O62" s="1"/>
      <c r="P62" s="1"/>
    </row>
    <row r="63" spans="1:16" ht="15.75" customHeight="1">
      <c r="A63" s="49">
        <v>7</v>
      </c>
      <c r="B63" s="49" t="s">
        <v>2388</v>
      </c>
      <c r="C63" s="49" t="s">
        <v>227</v>
      </c>
      <c r="D63" s="49" t="s">
        <v>385</v>
      </c>
      <c r="E63" s="49" t="s">
        <v>307</v>
      </c>
      <c r="F63" s="49"/>
      <c r="G63" s="49" t="s">
        <v>35</v>
      </c>
      <c r="H63" s="50">
        <v>500</v>
      </c>
      <c r="I63" s="55">
        <v>100</v>
      </c>
      <c r="J63" s="49" t="s">
        <v>36</v>
      </c>
      <c r="K63" s="49" t="s">
        <v>37</v>
      </c>
      <c r="L63" s="1"/>
      <c r="M63" s="4">
        <v>200</v>
      </c>
      <c r="N63" s="4"/>
      <c r="O63" s="1"/>
      <c r="P63" s="1"/>
    </row>
    <row r="64" spans="1:16" ht="15.75" customHeight="1">
      <c r="A64" s="49">
        <v>7</v>
      </c>
      <c r="B64" s="49" t="s">
        <v>2389</v>
      </c>
      <c r="C64" s="49" t="s">
        <v>227</v>
      </c>
      <c r="D64" s="49" t="s">
        <v>893</v>
      </c>
      <c r="E64" s="49" t="s">
        <v>152</v>
      </c>
      <c r="F64" s="49"/>
      <c r="G64" s="49" t="s">
        <v>35</v>
      </c>
      <c r="H64" s="50">
        <v>200</v>
      </c>
      <c r="I64" s="55">
        <v>40</v>
      </c>
      <c r="J64" s="49" t="s">
        <v>36</v>
      </c>
      <c r="K64" s="49" t="s">
        <v>37</v>
      </c>
      <c r="L64" s="1"/>
      <c r="M64" s="4">
        <v>40</v>
      </c>
      <c r="N64" s="4"/>
      <c r="O64" s="1"/>
      <c r="P64" s="1"/>
    </row>
    <row r="65" spans="1:16" ht="15.75" customHeight="1">
      <c r="A65" s="49">
        <v>7</v>
      </c>
      <c r="B65" s="49" t="s">
        <v>726</v>
      </c>
      <c r="C65" s="49" t="s">
        <v>227</v>
      </c>
      <c r="D65" s="49" t="s">
        <v>295</v>
      </c>
      <c r="E65" s="49" t="s">
        <v>248</v>
      </c>
      <c r="F65" s="49"/>
      <c r="G65" s="49" t="s">
        <v>35</v>
      </c>
      <c r="H65" s="50">
        <v>2500</v>
      </c>
      <c r="I65" s="55">
        <v>500</v>
      </c>
      <c r="J65" s="49" t="s">
        <v>36</v>
      </c>
      <c r="K65" s="49" t="s">
        <v>37</v>
      </c>
      <c r="L65" s="1"/>
      <c r="M65" s="4">
        <v>500</v>
      </c>
      <c r="N65" s="4"/>
      <c r="O65" s="1"/>
      <c r="P65" s="1"/>
    </row>
    <row r="66" spans="1:16" ht="15.75" customHeight="1">
      <c r="A66" s="49">
        <v>7</v>
      </c>
      <c r="B66" s="49" t="s">
        <v>2390</v>
      </c>
      <c r="C66" s="49" t="s">
        <v>227</v>
      </c>
      <c r="D66" s="49" t="s">
        <v>239</v>
      </c>
      <c r="E66" s="49" t="s">
        <v>232</v>
      </c>
      <c r="F66" s="49"/>
      <c r="G66" s="49" t="s">
        <v>35</v>
      </c>
      <c r="H66" s="50">
        <v>500</v>
      </c>
      <c r="I66" s="55">
        <v>100</v>
      </c>
      <c r="J66" s="49" t="s">
        <v>36</v>
      </c>
      <c r="K66" s="49" t="s">
        <v>37</v>
      </c>
      <c r="L66" s="1"/>
      <c r="M66" s="4">
        <v>100</v>
      </c>
      <c r="N66" s="4"/>
      <c r="O66" s="1"/>
      <c r="P66" s="1"/>
    </row>
    <row r="67" spans="1:16" ht="15.75" customHeight="1">
      <c r="A67" s="49">
        <v>7</v>
      </c>
      <c r="B67" s="49" t="s">
        <v>2391</v>
      </c>
      <c r="C67" s="49" t="s">
        <v>227</v>
      </c>
      <c r="D67" s="49" t="s">
        <v>2392</v>
      </c>
      <c r="E67" s="49" t="s">
        <v>2393</v>
      </c>
      <c r="F67" s="49"/>
      <c r="G67" s="49" t="s">
        <v>35</v>
      </c>
      <c r="H67" s="50">
        <v>5000</v>
      </c>
      <c r="I67" s="55"/>
      <c r="J67" s="49" t="s">
        <v>43</v>
      </c>
      <c r="K67" s="49" t="s">
        <v>37</v>
      </c>
      <c r="L67" s="1"/>
      <c r="M67" s="4">
        <v>1000</v>
      </c>
      <c r="N67" s="4"/>
      <c r="O67" s="1"/>
      <c r="P67" s="1"/>
    </row>
    <row r="68" spans="1:16" ht="15.75" customHeight="1">
      <c r="A68" s="49">
        <v>7</v>
      </c>
      <c r="B68" s="49" t="s">
        <v>1339</v>
      </c>
      <c r="C68" s="49" t="s">
        <v>227</v>
      </c>
      <c r="D68" s="49" t="s">
        <v>1426</v>
      </c>
      <c r="E68" s="49" t="s">
        <v>51</v>
      </c>
      <c r="F68" s="49"/>
      <c r="G68" s="49" t="s">
        <v>35</v>
      </c>
      <c r="H68" s="50">
        <v>1200</v>
      </c>
      <c r="I68" s="55">
        <v>240</v>
      </c>
      <c r="J68" s="49" t="s">
        <v>36</v>
      </c>
      <c r="K68" s="49" t="s">
        <v>37</v>
      </c>
      <c r="L68" s="1"/>
      <c r="M68" s="4">
        <v>250</v>
      </c>
      <c r="N68" s="4"/>
      <c r="O68" s="1"/>
      <c r="P68" s="1"/>
    </row>
    <row r="69" spans="1:16" ht="15.75" customHeight="1">
      <c r="A69" s="49">
        <v>7</v>
      </c>
      <c r="B69" s="49" t="s">
        <v>2394</v>
      </c>
      <c r="C69" s="49" t="s">
        <v>227</v>
      </c>
      <c r="D69" s="49" t="s">
        <v>352</v>
      </c>
      <c r="E69" s="49" t="s">
        <v>307</v>
      </c>
      <c r="F69" s="49"/>
      <c r="G69" s="49" t="s">
        <v>35</v>
      </c>
      <c r="H69" s="50">
        <v>50</v>
      </c>
      <c r="I69" s="55">
        <v>15</v>
      </c>
      <c r="J69" s="49" t="s">
        <v>36</v>
      </c>
      <c r="K69" s="49" t="s">
        <v>37</v>
      </c>
      <c r="L69" s="1"/>
      <c r="M69" s="4">
        <v>5</v>
      </c>
      <c r="N69" s="4"/>
      <c r="O69" s="1"/>
      <c r="P69" s="1"/>
    </row>
    <row r="70" spans="1:16" ht="15.75" customHeight="1">
      <c r="A70" s="49">
        <v>7</v>
      </c>
      <c r="B70" s="49" t="s">
        <v>626</v>
      </c>
      <c r="C70" s="49" t="s">
        <v>246</v>
      </c>
      <c r="D70" s="49" t="s">
        <v>548</v>
      </c>
      <c r="E70" s="49" t="s">
        <v>232</v>
      </c>
      <c r="F70" s="49"/>
      <c r="G70" s="49" t="s">
        <v>35</v>
      </c>
      <c r="H70" s="50">
        <v>2500</v>
      </c>
      <c r="I70" s="55">
        <v>500</v>
      </c>
      <c r="J70" s="49" t="s">
        <v>36</v>
      </c>
      <c r="K70" s="49" t="s">
        <v>37</v>
      </c>
      <c r="L70" s="1"/>
      <c r="M70" s="4">
        <v>600</v>
      </c>
      <c r="N70" s="4"/>
      <c r="O70" s="1"/>
      <c r="P70" s="1"/>
    </row>
    <row r="71" spans="1:16" ht="15.75" customHeight="1">
      <c r="A71" s="49">
        <v>7</v>
      </c>
      <c r="B71" s="49" t="s">
        <v>626</v>
      </c>
      <c r="C71" s="49" t="s">
        <v>246</v>
      </c>
      <c r="D71" s="49" t="s">
        <v>548</v>
      </c>
      <c r="E71" s="49" t="s">
        <v>232</v>
      </c>
      <c r="F71" s="49"/>
      <c r="G71" s="49" t="s">
        <v>120</v>
      </c>
      <c r="H71" s="50">
        <v>10</v>
      </c>
      <c r="I71" s="55">
        <v>100</v>
      </c>
      <c r="J71" s="49" t="s">
        <v>36</v>
      </c>
      <c r="K71" s="49" t="s">
        <v>37</v>
      </c>
      <c r="L71" s="1"/>
      <c r="M71" s="4"/>
      <c r="N71" s="4"/>
      <c r="O71" s="1"/>
      <c r="P71" s="1"/>
    </row>
    <row r="72" spans="1:16" ht="15.75" customHeight="1">
      <c r="A72" s="49">
        <v>7</v>
      </c>
      <c r="B72" s="49" t="s">
        <v>2395</v>
      </c>
      <c r="C72" s="49" t="s">
        <v>227</v>
      </c>
      <c r="D72" s="49" t="s">
        <v>2396</v>
      </c>
      <c r="E72" s="49" t="s">
        <v>655</v>
      </c>
      <c r="F72" s="49"/>
      <c r="G72" s="49" t="s">
        <v>35</v>
      </c>
      <c r="H72" s="50">
        <v>3000</v>
      </c>
      <c r="I72" s="55">
        <v>600</v>
      </c>
      <c r="J72" s="49" t="s">
        <v>36</v>
      </c>
      <c r="K72" s="49" t="s">
        <v>37</v>
      </c>
      <c r="L72" s="1"/>
      <c r="M72" s="4">
        <v>3500</v>
      </c>
      <c r="N72" s="4"/>
      <c r="O72" s="1"/>
      <c r="P72" s="1"/>
    </row>
    <row r="73" spans="1:16" ht="15.75" customHeight="1">
      <c r="A73" s="49">
        <v>7</v>
      </c>
      <c r="B73" s="49" t="s">
        <v>2397</v>
      </c>
      <c r="C73" s="49" t="s">
        <v>227</v>
      </c>
      <c r="D73" s="49" t="s">
        <v>1377</v>
      </c>
      <c r="E73" s="49" t="s">
        <v>248</v>
      </c>
      <c r="F73" s="49"/>
      <c r="G73" s="49" t="s">
        <v>35</v>
      </c>
      <c r="H73" s="50">
        <v>3500</v>
      </c>
      <c r="I73" s="55">
        <v>700</v>
      </c>
      <c r="J73" s="49" t="s">
        <v>36</v>
      </c>
      <c r="K73" s="49" t="s">
        <v>37</v>
      </c>
      <c r="L73" s="1"/>
      <c r="M73" s="4">
        <v>700</v>
      </c>
      <c r="N73" s="4"/>
      <c r="O73" s="1"/>
      <c r="P73" s="1"/>
    </row>
    <row r="74" spans="1:16" ht="15.75" customHeight="1">
      <c r="A74" s="49">
        <v>7</v>
      </c>
      <c r="B74" s="49" t="s">
        <v>2398</v>
      </c>
      <c r="C74" s="49" t="s">
        <v>246</v>
      </c>
      <c r="D74" s="49" t="s">
        <v>330</v>
      </c>
      <c r="E74" s="49" t="s">
        <v>254</v>
      </c>
      <c r="F74" s="49"/>
      <c r="G74" s="49" t="s">
        <v>35</v>
      </c>
      <c r="H74" s="50">
        <v>1000</v>
      </c>
      <c r="I74" s="55">
        <v>200</v>
      </c>
      <c r="J74" s="49" t="s">
        <v>36</v>
      </c>
      <c r="K74" s="49" t="s">
        <v>37</v>
      </c>
      <c r="L74" s="1"/>
      <c r="M74" s="4">
        <v>200</v>
      </c>
      <c r="N74" s="4"/>
      <c r="O74" s="1"/>
      <c r="P74" s="1"/>
    </row>
    <row r="75" spans="1:16" ht="15.75" customHeight="1">
      <c r="A75" s="49">
        <v>7</v>
      </c>
      <c r="B75" s="49" t="s">
        <v>2399</v>
      </c>
      <c r="C75" s="49" t="s">
        <v>246</v>
      </c>
      <c r="D75" s="49" t="s">
        <v>239</v>
      </c>
      <c r="E75" s="49" t="s">
        <v>232</v>
      </c>
      <c r="F75" s="49"/>
      <c r="G75" s="49" t="s">
        <v>35</v>
      </c>
      <c r="H75" s="50">
        <v>200</v>
      </c>
      <c r="I75" s="55">
        <v>60</v>
      </c>
      <c r="J75" s="49" t="s">
        <v>36</v>
      </c>
      <c r="K75" s="49" t="s">
        <v>37</v>
      </c>
      <c r="L75" s="1"/>
      <c r="M75" s="4">
        <v>50</v>
      </c>
      <c r="N75" s="4"/>
      <c r="O75" s="1"/>
      <c r="P75" s="1"/>
    </row>
    <row r="76" spans="1:16" ht="15.75" customHeight="1">
      <c r="A76" s="49">
        <v>7</v>
      </c>
      <c r="B76" s="49" t="s">
        <v>904</v>
      </c>
      <c r="C76" s="49" t="s">
        <v>227</v>
      </c>
      <c r="D76" s="49" t="s">
        <v>905</v>
      </c>
      <c r="E76" s="49" t="s">
        <v>51</v>
      </c>
      <c r="F76" s="49"/>
      <c r="G76" s="49" t="s">
        <v>35</v>
      </c>
      <c r="H76" s="50">
        <v>200</v>
      </c>
      <c r="I76" s="55">
        <v>60</v>
      </c>
      <c r="J76" s="49" t="s">
        <v>36</v>
      </c>
      <c r="K76" s="49" t="s">
        <v>37</v>
      </c>
      <c r="L76" s="1"/>
      <c r="M76" s="4">
        <v>50</v>
      </c>
      <c r="N76" s="4"/>
      <c r="O76" s="1"/>
      <c r="P76" s="1"/>
    </row>
    <row r="77" spans="1:16" ht="15.75" customHeight="1">
      <c r="A77" s="49">
        <v>7</v>
      </c>
      <c r="B77" s="49" t="s">
        <v>2400</v>
      </c>
      <c r="C77" s="49" t="s">
        <v>227</v>
      </c>
      <c r="D77" s="49" t="s">
        <v>2026</v>
      </c>
      <c r="E77" s="49" t="s">
        <v>152</v>
      </c>
      <c r="F77" s="49"/>
      <c r="G77" s="49" t="s">
        <v>35</v>
      </c>
      <c r="H77" s="50">
        <v>2500</v>
      </c>
      <c r="I77" s="55">
        <v>500</v>
      </c>
      <c r="J77" s="49" t="s">
        <v>36</v>
      </c>
      <c r="K77" s="49" t="s">
        <v>37</v>
      </c>
      <c r="L77" s="1"/>
      <c r="M77" s="4">
        <v>600</v>
      </c>
      <c r="N77" s="4"/>
      <c r="O77" s="1"/>
      <c r="P77" s="1"/>
    </row>
    <row r="78" spans="1:16" ht="15.75" customHeight="1">
      <c r="A78" s="49">
        <v>7</v>
      </c>
      <c r="B78" s="49" t="s">
        <v>2400</v>
      </c>
      <c r="C78" s="49" t="s">
        <v>227</v>
      </c>
      <c r="D78" s="49" t="s">
        <v>2026</v>
      </c>
      <c r="E78" s="49" t="s">
        <v>152</v>
      </c>
      <c r="F78" s="134"/>
      <c r="G78" s="134" t="s">
        <v>120</v>
      </c>
      <c r="H78" s="135">
        <v>20</v>
      </c>
      <c r="I78" s="136">
        <v>200</v>
      </c>
      <c r="J78" s="49" t="s">
        <v>36</v>
      </c>
      <c r="K78" s="49" t="s">
        <v>37</v>
      </c>
      <c r="L78" s="1"/>
      <c r="M78" s="4"/>
      <c r="N78" s="4"/>
      <c r="O78" s="1"/>
      <c r="P78" s="1"/>
    </row>
    <row r="79" spans="1:16" ht="15.75" customHeight="1">
      <c r="A79" s="17">
        <v>8</v>
      </c>
      <c r="B79" s="17" t="s">
        <v>2401</v>
      </c>
      <c r="C79" s="17" t="s">
        <v>246</v>
      </c>
      <c r="D79" s="17" t="s">
        <v>270</v>
      </c>
      <c r="E79" s="17" t="s">
        <v>241</v>
      </c>
      <c r="F79" s="17"/>
      <c r="G79" s="17" t="s">
        <v>35</v>
      </c>
      <c r="H79" s="116">
        <v>6000</v>
      </c>
      <c r="I79" s="105">
        <v>1200</v>
      </c>
      <c r="J79" s="17" t="s">
        <v>36</v>
      </c>
      <c r="K79" s="17" t="s">
        <v>37</v>
      </c>
      <c r="L79" s="1"/>
      <c r="M79" s="4">
        <v>1200</v>
      </c>
      <c r="N79" s="4"/>
      <c r="O79" s="1"/>
      <c r="P79" s="1"/>
    </row>
    <row r="80" spans="1:16" ht="15.75" customHeight="1">
      <c r="A80" s="49">
        <v>8</v>
      </c>
      <c r="B80" s="49" t="s">
        <v>2402</v>
      </c>
      <c r="C80" s="49" t="s">
        <v>227</v>
      </c>
      <c r="D80" s="49" t="s">
        <v>290</v>
      </c>
      <c r="E80" s="49" t="s">
        <v>232</v>
      </c>
      <c r="F80" s="49"/>
      <c r="G80" s="49" t="s">
        <v>35</v>
      </c>
      <c r="H80" s="50">
        <v>2000</v>
      </c>
      <c r="I80" s="55">
        <v>400</v>
      </c>
      <c r="J80" s="49" t="s">
        <v>36</v>
      </c>
      <c r="K80" s="49" t="s">
        <v>37</v>
      </c>
      <c r="L80" s="1"/>
      <c r="M80" s="4">
        <v>450</v>
      </c>
      <c r="N80" s="4"/>
      <c r="O80" s="1"/>
      <c r="P80" s="1"/>
    </row>
    <row r="81" spans="1:26" ht="15.75" customHeight="1">
      <c r="A81" s="49">
        <v>8</v>
      </c>
      <c r="B81" s="49" t="s">
        <v>2403</v>
      </c>
      <c r="C81" s="49" t="s">
        <v>227</v>
      </c>
      <c r="D81" s="49" t="s">
        <v>1030</v>
      </c>
      <c r="E81" s="49" t="s">
        <v>307</v>
      </c>
      <c r="F81" s="49"/>
      <c r="G81" s="49" t="s">
        <v>35</v>
      </c>
      <c r="H81" s="49">
        <v>500</v>
      </c>
      <c r="I81" s="55">
        <v>100</v>
      </c>
      <c r="J81" s="49" t="s">
        <v>36</v>
      </c>
      <c r="K81" s="49" t="s">
        <v>37</v>
      </c>
      <c r="L81" s="1"/>
      <c r="M81" s="4">
        <v>50</v>
      </c>
      <c r="N81" s="4"/>
      <c r="O81" s="1"/>
      <c r="P81" s="1"/>
    </row>
    <row r="82" spans="1:26" ht="15.75" customHeight="1">
      <c r="A82" s="49">
        <v>8</v>
      </c>
      <c r="B82" s="49" t="s">
        <v>2403</v>
      </c>
      <c r="C82" s="49" t="s">
        <v>227</v>
      </c>
      <c r="D82" s="49" t="s">
        <v>1030</v>
      </c>
      <c r="E82" s="49" t="s">
        <v>307</v>
      </c>
      <c r="F82" s="49"/>
      <c r="G82" s="49" t="s">
        <v>35</v>
      </c>
      <c r="H82" s="49">
        <v>500</v>
      </c>
      <c r="I82" s="55"/>
      <c r="J82" s="49" t="s">
        <v>43</v>
      </c>
      <c r="K82" s="49"/>
      <c r="L82" s="1"/>
      <c r="M82" s="1"/>
      <c r="N82" s="1"/>
      <c r="O82" s="1"/>
      <c r="P82" s="1"/>
    </row>
    <row r="83" spans="1:26" ht="15.75" customHeight="1">
      <c r="A83" s="49">
        <v>8</v>
      </c>
      <c r="B83" s="49" t="s">
        <v>2404</v>
      </c>
      <c r="C83" s="49" t="s">
        <v>227</v>
      </c>
      <c r="D83" s="49" t="s">
        <v>198</v>
      </c>
      <c r="E83" s="49" t="s">
        <v>307</v>
      </c>
      <c r="F83" s="49"/>
      <c r="G83" s="49" t="s">
        <v>35</v>
      </c>
      <c r="H83" s="50">
        <v>7000</v>
      </c>
      <c r="I83" s="55">
        <v>1400</v>
      </c>
      <c r="J83" s="49" t="s">
        <v>36</v>
      </c>
      <c r="K83" s="49" t="s">
        <v>37</v>
      </c>
      <c r="L83" s="1"/>
      <c r="M83" s="4">
        <v>1500</v>
      </c>
      <c r="N83" s="4"/>
      <c r="O83" s="1"/>
      <c r="P83" s="1"/>
    </row>
    <row r="84" spans="1:26" ht="15.75" customHeight="1">
      <c r="A84" s="49">
        <v>8</v>
      </c>
      <c r="B84" s="49" t="s">
        <v>2404</v>
      </c>
      <c r="C84" s="49" t="s">
        <v>227</v>
      </c>
      <c r="D84" s="49" t="s">
        <v>198</v>
      </c>
      <c r="E84" s="49" t="s">
        <v>307</v>
      </c>
      <c r="F84" s="49"/>
      <c r="G84" s="49" t="s">
        <v>120</v>
      </c>
      <c r="H84" s="49">
        <v>30</v>
      </c>
      <c r="I84" s="55">
        <v>300</v>
      </c>
      <c r="J84" s="49" t="s">
        <v>36</v>
      </c>
      <c r="K84" s="49" t="s">
        <v>37</v>
      </c>
      <c r="L84" s="1"/>
      <c r="M84" s="1"/>
      <c r="N84" s="1"/>
      <c r="O84" s="1"/>
      <c r="P84" s="1"/>
    </row>
    <row r="85" spans="1:26" ht="15.75" customHeight="1">
      <c r="A85" s="49">
        <v>8</v>
      </c>
      <c r="B85" s="49" t="s">
        <v>2405</v>
      </c>
      <c r="C85" s="49" t="s">
        <v>227</v>
      </c>
      <c r="D85" s="49" t="s">
        <v>345</v>
      </c>
      <c r="E85" s="49" t="s">
        <v>41</v>
      </c>
      <c r="F85" s="49"/>
      <c r="G85" s="49" t="s">
        <v>35</v>
      </c>
      <c r="H85" s="54">
        <v>1000</v>
      </c>
      <c r="I85" s="55">
        <v>200</v>
      </c>
      <c r="J85" s="49" t="s">
        <v>36</v>
      </c>
      <c r="K85" s="49" t="s">
        <v>37</v>
      </c>
      <c r="L85" s="1"/>
      <c r="M85" s="1">
        <v>200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49">
        <v>8</v>
      </c>
      <c r="B86" s="49" t="s">
        <v>2406</v>
      </c>
      <c r="C86" s="49" t="s">
        <v>227</v>
      </c>
      <c r="D86" s="49" t="s">
        <v>345</v>
      </c>
      <c r="E86" s="49" t="s">
        <v>41</v>
      </c>
      <c r="F86" s="49"/>
      <c r="G86" s="49" t="s">
        <v>35</v>
      </c>
      <c r="H86" s="54">
        <v>3000</v>
      </c>
      <c r="I86" s="55">
        <v>600</v>
      </c>
      <c r="J86" s="49" t="s">
        <v>36</v>
      </c>
      <c r="K86" s="49" t="s">
        <v>37</v>
      </c>
      <c r="L86" s="1"/>
      <c r="M86" s="1">
        <v>750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49">
        <v>8</v>
      </c>
      <c r="B87" s="49" t="s">
        <v>603</v>
      </c>
      <c r="C87" s="49" t="s">
        <v>227</v>
      </c>
      <c r="D87" s="49" t="s">
        <v>604</v>
      </c>
      <c r="E87" s="49" t="s">
        <v>235</v>
      </c>
      <c r="F87" s="49"/>
      <c r="G87" s="49" t="s">
        <v>120</v>
      </c>
      <c r="H87" s="54">
        <v>10</v>
      </c>
      <c r="I87" s="55">
        <v>100</v>
      </c>
      <c r="J87" s="49" t="s">
        <v>36</v>
      </c>
      <c r="K87" s="49" t="s">
        <v>37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49"/>
      <c r="G88" s="49" t="s">
        <v>242</v>
      </c>
      <c r="H88" s="54">
        <v>20</v>
      </c>
      <c r="I88" s="55">
        <v>60</v>
      </c>
      <c r="J88" s="49" t="s">
        <v>36</v>
      </c>
      <c r="K88" s="49" t="s">
        <v>37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49">
        <v>8</v>
      </c>
      <c r="B89" s="49" t="s">
        <v>2407</v>
      </c>
      <c r="C89" s="49" t="s">
        <v>227</v>
      </c>
      <c r="D89" s="49" t="s">
        <v>33</v>
      </c>
      <c r="E89" s="49" t="s">
        <v>164</v>
      </c>
      <c r="F89" s="49"/>
      <c r="G89" s="49" t="s">
        <v>35</v>
      </c>
      <c r="H89" s="54">
        <v>2000</v>
      </c>
      <c r="I89" s="55">
        <v>400</v>
      </c>
      <c r="J89" s="49" t="s">
        <v>36</v>
      </c>
      <c r="K89" s="49" t="s">
        <v>37</v>
      </c>
      <c r="L89" s="1"/>
      <c r="M89" s="1">
        <v>200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49">
        <v>8</v>
      </c>
      <c r="B90" s="49" t="s">
        <v>2408</v>
      </c>
      <c r="C90" s="49" t="s">
        <v>227</v>
      </c>
      <c r="D90" s="49" t="s">
        <v>1245</v>
      </c>
      <c r="E90" s="49" t="s">
        <v>323</v>
      </c>
      <c r="F90" s="49"/>
      <c r="G90" s="49" t="s">
        <v>35</v>
      </c>
      <c r="H90" s="54">
        <v>500</v>
      </c>
      <c r="I90" s="55">
        <v>100</v>
      </c>
      <c r="J90" s="49" t="s">
        <v>36</v>
      </c>
      <c r="K90" s="49" t="s">
        <v>37</v>
      </c>
      <c r="L90" s="1"/>
      <c r="M90" s="1">
        <v>100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49">
        <v>8</v>
      </c>
      <c r="B91" s="49" t="s">
        <v>2409</v>
      </c>
      <c r="C91" s="49" t="s">
        <v>227</v>
      </c>
      <c r="D91" s="49" t="s">
        <v>290</v>
      </c>
      <c r="E91" s="49" t="s">
        <v>232</v>
      </c>
      <c r="F91" s="49"/>
      <c r="G91" s="49" t="s">
        <v>35</v>
      </c>
      <c r="H91" s="54">
        <v>1000</v>
      </c>
      <c r="I91" s="55">
        <v>200</v>
      </c>
      <c r="J91" s="49" t="s">
        <v>36</v>
      </c>
      <c r="K91" s="49" t="s">
        <v>37</v>
      </c>
      <c r="L91" s="1"/>
      <c r="M91" s="1">
        <v>300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49">
        <v>8</v>
      </c>
      <c r="B92" s="49" t="s">
        <v>2410</v>
      </c>
      <c r="C92" s="49" t="s">
        <v>227</v>
      </c>
      <c r="D92" s="49" t="s">
        <v>295</v>
      </c>
      <c r="E92" s="49" t="s">
        <v>248</v>
      </c>
      <c r="F92" s="49"/>
      <c r="G92" s="49" t="s">
        <v>35</v>
      </c>
      <c r="H92" s="54">
        <v>1500</v>
      </c>
      <c r="I92" s="55">
        <v>300</v>
      </c>
      <c r="J92" s="49" t="s">
        <v>36</v>
      </c>
      <c r="K92" s="49" t="s">
        <v>37</v>
      </c>
      <c r="L92" s="1"/>
      <c r="M92" s="1">
        <v>300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49">
        <v>8</v>
      </c>
      <c r="B93" s="49" t="s">
        <v>2411</v>
      </c>
      <c r="C93" s="49" t="s">
        <v>227</v>
      </c>
      <c r="D93" s="49" t="s">
        <v>947</v>
      </c>
      <c r="E93" s="49" t="s">
        <v>307</v>
      </c>
      <c r="F93" s="49"/>
      <c r="G93" s="49" t="s">
        <v>35</v>
      </c>
      <c r="H93" s="54">
        <v>50</v>
      </c>
      <c r="I93" s="55">
        <v>10</v>
      </c>
      <c r="J93" s="49" t="s">
        <v>36</v>
      </c>
      <c r="K93" s="49" t="s">
        <v>37</v>
      </c>
      <c r="L93" s="1"/>
      <c r="M93" s="1">
        <v>10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49">
        <v>8</v>
      </c>
      <c r="B94" s="49" t="s">
        <v>2412</v>
      </c>
      <c r="C94" s="49" t="s">
        <v>227</v>
      </c>
      <c r="D94" s="49"/>
      <c r="E94" s="49" t="s">
        <v>251</v>
      </c>
      <c r="F94" s="49"/>
      <c r="G94" s="49" t="s">
        <v>35</v>
      </c>
      <c r="H94" s="54">
        <v>50</v>
      </c>
      <c r="I94" s="55">
        <v>10</v>
      </c>
      <c r="J94" s="49" t="s">
        <v>36</v>
      </c>
      <c r="K94" s="49" t="s">
        <v>37</v>
      </c>
      <c r="L94" s="1"/>
      <c r="M94" s="1">
        <v>10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49">
        <v>8</v>
      </c>
      <c r="B95" s="49" t="s">
        <v>2412</v>
      </c>
      <c r="C95" s="49" t="s">
        <v>227</v>
      </c>
      <c r="D95" s="49"/>
      <c r="E95" s="49" t="s">
        <v>251</v>
      </c>
      <c r="F95" s="101"/>
      <c r="G95" s="101" t="s">
        <v>242</v>
      </c>
      <c r="H95" s="137">
        <v>80</v>
      </c>
      <c r="I95" s="102">
        <v>240</v>
      </c>
      <c r="J95" s="49" t="s">
        <v>36</v>
      </c>
      <c r="K95" s="49" t="s">
        <v>37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7">
        <v>9</v>
      </c>
      <c r="B96" s="17" t="s">
        <v>2413</v>
      </c>
      <c r="C96" s="17" t="s">
        <v>227</v>
      </c>
      <c r="D96" s="17" t="s">
        <v>2414</v>
      </c>
      <c r="E96" s="17" t="s">
        <v>33</v>
      </c>
      <c r="F96" s="17"/>
      <c r="G96" s="17" t="s">
        <v>35</v>
      </c>
      <c r="H96" s="138">
        <v>300</v>
      </c>
      <c r="I96" s="105">
        <v>60</v>
      </c>
      <c r="J96" s="17" t="s">
        <v>36</v>
      </c>
      <c r="K96" s="17" t="s">
        <v>37</v>
      </c>
      <c r="L96" s="1"/>
      <c r="M96" s="1">
        <v>100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49">
        <v>9</v>
      </c>
      <c r="B97" s="49" t="s">
        <v>2415</v>
      </c>
      <c r="C97" s="49" t="s">
        <v>246</v>
      </c>
      <c r="D97" s="49" t="s">
        <v>1215</v>
      </c>
      <c r="E97" s="49" t="s">
        <v>232</v>
      </c>
      <c r="F97" s="49"/>
      <c r="G97" s="49" t="s">
        <v>35</v>
      </c>
      <c r="H97" s="54">
        <v>500</v>
      </c>
      <c r="I97" s="55"/>
      <c r="J97" s="49" t="s">
        <v>43</v>
      </c>
      <c r="K97" s="49" t="s">
        <v>37</v>
      </c>
      <c r="L97" s="1"/>
      <c r="M97" s="1">
        <v>225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49">
        <v>9</v>
      </c>
      <c r="B98" s="49" t="s">
        <v>2415</v>
      </c>
      <c r="C98" s="49" t="s">
        <v>246</v>
      </c>
      <c r="D98" s="49" t="s">
        <v>1215</v>
      </c>
      <c r="E98" s="49" t="s">
        <v>232</v>
      </c>
      <c r="F98" s="49"/>
      <c r="G98" s="49" t="s">
        <v>35</v>
      </c>
      <c r="H98" s="54">
        <v>1500</v>
      </c>
      <c r="I98" s="55">
        <v>300</v>
      </c>
      <c r="J98" s="49" t="s">
        <v>36</v>
      </c>
      <c r="K98" s="49"/>
      <c r="L98" s="12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49">
        <v>9</v>
      </c>
      <c r="B99" s="49" t="s">
        <v>2416</v>
      </c>
      <c r="C99" s="49" t="s">
        <v>227</v>
      </c>
      <c r="D99" s="49" t="s">
        <v>290</v>
      </c>
      <c r="E99" s="49" t="s">
        <v>232</v>
      </c>
      <c r="F99" s="49"/>
      <c r="G99" s="49" t="s">
        <v>35</v>
      </c>
      <c r="H99" s="54">
        <v>3000</v>
      </c>
      <c r="I99" s="55">
        <v>600</v>
      </c>
      <c r="J99" s="49" t="s">
        <v>36</v>
      </c>
      <c r="K99" s="49" t="s">
        <v>37</v>
      </c>
      <c r="L99" s="1"/>
      <c r="M99" s="1">
        <v>900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49">
        <v>9</v>
      </c>
      <c r="B100" s="49" t="s">
        <v>2404</v>
      </c>
      <c r="C100" s="49" t="s">
        <v>227</v>
      </c>
      <c r="D100" s="49" t="s">
        <v>198</v>
      </c>
      <c r="E100" s="49" t="s">
        <v>307</v>
      </c>
      <c r="F100" s="49"/>
      <c r="G100" s="49" t="s">
        <v>35</v>
      </c>
      <c r="H100" s="54">
        <v>6000</v>
      </c>
      <c r="I100" s="55">
        <v>1200</v>
      </c>
      <c r="J100" s="49" t="s">
        <v>36</v>
      </c>
      <c r="K100" s="49" t="s">
        <v>37</v>
      </c>
      <c r="L100" s="1"/>
      <c r="M100" s="1">
        <v>600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49">
        <v>9</v>
      </c>
      <c r="B101" s="49" t="s">
        <v>2417</v>
      </c>
      <c r="C101" s="49" t="s">
        <v>227</v>
      </c>
      <c r="D101" s="49" t="s">
        <v>247</v>
      </c>
      <c r="E101" s="49" t="s">
        <v>248</v>
      </c>
      <c r="F101" s="49"/>
      <c r="G101" s="49" t="s">
        <v>35</v>
      </c>
      <c r="H101" s="54">
        <v>800</v>
      </c>
      <c r="I101" s="55">
        <v>160</v>
      </c>
      <c r="J101" s="49" t="s">
        <v>36</v>
      </c>
      <c r="K101" s="49" t="s">
        <v>37</v>
      </c>
      <c r="L101" s="1"/>
      <c r="M101" s="1">
        <v>150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49">
        <v>9</v>
      </c>
      <c r="B102" s="49" t="s">
        <v>2417</v>
      </c>
      <c r="C102" s="49" t="s">
        <v>227</v>
      </c>
      <c r="D102" s="49" t="s">
        <v>247</v>
      </c>
      <c r="E102" s="49" t="s">
        <v>248</v>
      </c>
      <c r="F102" s="49"/>
      <c r="G102" s="49" t="s">
        <v>120</v>
      </c>
      <c r="H102" s="54">
        <v>3</v>
      </c>
      <c r="I102" s="55">
        <v>30</v>
      </c>
      <c r="J102" s="49" t="s">
        <v>36</v>
      </c>
      <c r="K102" s="49" t="s">
        <v>37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49">
        <v>9</v>
      </c>
      <c r="B103" s="49" t="s">
        <v>2418</v>
      </c>
      <c r="C103" s="49" t="s">
        <v>246</v>
      </c>
      <c r="D103" s="49" t="s">
        <v>385</v>
      </c>
      <c r="E103" s="49" t="s">
        <v>232</v>
      </c>
      <c r="F103" s="49"/>
      <c r="G103" s="49" t="s">
        <v>35</v>
      </c>
      <c r="H103" s="54">
        <v>1000</v>
      </c>
      <c r="I103" s="55">
        <v>300</v>
      </c>
      <c r="J103" s="49" t="s">
        <v>36</v>
      </c>
      <c r="K103" s="49" t="s">
        <v>37</v>
      </c>
      <c r="L103" s="1"/>
      <c r="M103" s="1">
        <v>200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49">
        <v>9</v>
      </c>
      <c r="B104" s="49" t="s">
        <v>2419</v>
      </c>
      <c r="C104" s="49" t="s">
        <v>227</v>
      </c>
      <c r="D104" s="49" t="s">
        <v>763</v>
      </c>
      <c r="E104" s="49" t="s">
        <v>235</v>
      </c>
      <c r="F104" s="49"/>
      <c r="G104" s="49" t="s">
        <v>120</v>
      </c>
      <c r="H104" s="54">
        <v>50</v>
      </c>
      <c r="I104" s="55">
        <v>500</v>
      </c>
      <c r="J104" s="49" t="s">
        <v>36</v>
      </c>
      <c r="K104" s="49" t="s">
        <v>37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49">
        <v>9</v>
      </c>
      <c r="B105" s="49" t="s">
        <v>2420</v>
      </c>
      <c r="C105" s="49" t="s">
        <v>227</v>
      </c>
      <c r="D105" s="49" t="s">
        <v>32</v>
      </c>
      <c r="E105" s="49" t="s">
        <v>232</v>
      </c>
      <c r="F105" s="49"/>
      <c r="G105" s="49" t="s">
        <v>35</v>
      </c>
      <c r="H105" s="54">
        <v>3000</v>
      </c>
      <c r="I105" s="55">
        <v>600</v>
      </c>
      <c r="J105" s="49" t="s">
        <v>36</v>
      </c>
      <c r="K105" s="49" t="s">
        <v>37</v>
      </c>
      <c r="L105" s="1"/>
      <c r="M105" s="1">
        <v>600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49">
        <v>9</v>
      </c>
      <c r="B106" s="49" t="s">
        <v>2420</v>
      </c>
      <c r="C106" s="49" t="s">
        <v>227</v>
      </c>
      <c r="D106" s="49" t="s">
        <v>32</v>
      </c>
      <c r="E106" s="49" t="s">
        <v>232</v>
      </c>
      <c r="F106" s="101"/>
      <c r="G106" s="101" t="s">
        <v>120</v>
      </c>
      <c r="H106" s="101">
        <v>10</v>
      </c>
      <c r="I106" s="102">
        <v>100</v>
      </c>
      <c r="J106" s="49" t="s">
        <v>36</v>
      </c>
      <c r="K106" s="49" t="s">
        <v>37</v>
      </c>
      <c r="L106" s="1"/>
      <c r="M106" s="1"/>
      <c r="N106" s="1"/>
      <c r="O106" s="1"/>
      <c r="P106" s="1"/>
    </row>
    <row r="107" spans="1:26" ht="15.75" customHeight="1">
      <c r="A107" s="17">
        <v>10</v>
      </c>
      <c r="B107" s="17" t="s">
        <v>1443</v>
      </c>
      <c r="C107" s="17" t="s">
        <v>227</v>
      </c>
      <c r="D107" s="17" t="s">
        <v>2242</v>
      </c>
      <c r="E107" s="17" t="s">
        <v>232</v>
      </c>
      <c r="F107" s="17"/>
      <c r="G107" s="17" t="s">
        <v>35</v>
      </c>
      <c r="H107" s="17">
        <v>500</v>
      </c>
      <c r="I107" s="105"/>
      <c r="J107" s="17" t="s">
        <v>43</v>
      </c>
      <c r="K107" s="17" t="s">
        <v>37</v>
      </c>
      <c r="L107" s="1"/>
      <c r="M107" s="1">
        <v>4000</v>
      </c>
      <c r="N107" s="1"/>
      <c r="O107" s="1"/>
      <c r="P107" s="1"/>
    </row>
    <row r="108" spans="1:26" ht="15.75" customHeight="1">
      <c r="A108" s="17">
        <v>10</v>
      </c>
      <c r="B108" s="17" t="s">
        <v>1443</v>
      </c>
      <c r="C108" s="17" t="s">
        <v>227</v>
      </c>
      <c r="D108" s="17" t="s">
        <v>2242</v>
      </c>
      <c r="E108" s="17" t="s">
        <v>232</v>
      </c>
      <c r="F108" s="49"/>
      <c r="G108" s="49"/>
      <c r="H108" s="49">
        <v>7000</v>
      </c>
      <c r="I108" s="55">
        <v>1400</v>
      </c>
      <c r="J108" s="49" t="s">
        <v>36</v>
      </c>
      <c r="K108" s="49" t="s">
        <v>37</v>
      </c>
      <c r="L108" s="1"/>
      <c r="M108" s="1"/>
      <c r="N108" s="1"/>
      <c r="O108" s="1"/>
      <c r="P108" s="1"/>
    </row>
    <row r="109" spans="1:26" ht="15.75" customHeight="1">
      <c r="A109" s="49">
        <v>10</v>
      </c>
      <c r="B109" s="49" t="s">
        <v>1572</v>
      </c>
      <c r="C109" s="49" t="s">
        <v>246</v>
      </c>
      <c r="D109" s="49" t="s">
        <v>323</v>
      </c>
      <c r="E109" s="49" t="s">
        <v>232</v>
      </c>
      <c r="F109" s="49"/>
      <c r="G109" s="49" t="s">
        <v>35</v>
      </c>
      <c r="H109" s="49">
        <v>500</v>
      </c>
      <c r="I109" s="55">
        <v>150</v>
      </c>
      <c r="J109" s="49" t="s">
        <v>36</v>
      </c>
      <c r="K109" s="49" t="s">
        <v>37</v>
      </c>
      <c r="L109" s="1"/>
      <c r="M109" s="1">
        <v>150</v>
      </c>
      <c r="N109" s="1"/>
      <c r="O109" s="1"/>
      <c r="P109" s="1"/>
    </row>
    <row r="110" spans="1:26" ht="15.75" customHeight="1">
      <c r="A110" s="49">
        <v>10</v>
      </c>
      <c r="B110" s="49" t="s">
        <v>2421</v>
      </c>
      <c r="C110" s="49" t="s">
        <v>227</v>
      </c>
      <c r="D110" s="49" t="s">
        <v>758</v>
      </c>
      <c r="E110" s="49" t="s">
        <v>51</v>
      </c>
      <c r="F110" s="49"/>
      <c r="G110" s="49" t="s">
        <v>35</v>
      </c>
      <c r="H110" s="49">
        <v>900</v>
      </c>
      <c r="I110" s="55">
        <v>180</v>
      </c>
      <c r="J110" s="49" t="s">
        <v>36</v>
      </c>
      <c r="K110" s="49" t="s">
        <v>37</v>
      </c>
      <c r="L110" s="1"/>
      <c r="M110" s="1">
        <v>300</v>
      </c>
      <c r="N110" s="1"/>
      <c r="O110" s="1"/>
      <c r="P110" s="1"/>
    </row>
    <row r="111" spans="1:26" ht="15.75" customHeight="1">
      <c r="A111" s="49">
        <v>10</v>
      </c>
      <c r="B111" s="49" t="s">
        <v>2422</v>
      </c>
      <c r="C111" s="49" t="s">
        <v>227</v>
      </c>
      <c r="D111" s="49" t="s">
        <v>260</v>
      </c>
      <c r="E111" s="49" t="s">
        <v>51</v>
      </c>
      <c r="F111" s="49"/>
      <c r="G111" s="49" t="s">
        <v>120</v>
      </c>
      <c r="H111" s="49">
        <v>36</v>
      </c>
      <c r="I111" s="55">
        <v>360</v>
      </c>
      <c r="J111" s="49" t="s">
        <v>36</v>
      </c>
      <c r="K111" s="49" t="s">
        <v>37</v>
      </c>
      <c r="L111" s="1"/>
      <c r="M111" s="1"/>
      <c r="N111" s="1"/>
      <c r="O111" s="1"/>
      <c r="P111" s="1"/>
    </row>
    <row r="112" spans="1:26" ht="15.75" customHeight="1">
      <c r="A112" s="101">
        <v>10</v>
      </c>
      <c r="B112" s="101" t="s">
        <v>2423</v>
      </c>
      <c r="C112" s="101" t="s">
        <v>227</v>
      </c>
      <c r="D112" s="101" t="s">
        <v>495</v>
      </c>
      <c r="E112" s="101" t="s">
        <v>199</v>
      </c>
      <c r="F112" s="101"/>
      <c r="G112" s="101" t="s">
        <v>35</v>
      </c>
      <c r="H112" s="101">
        <v>500</v>
      </c>
      <c r="I112" s="102">
        <v>200</v>
      </c>
      <c r="J112" s="49" t="s">
        <v>36</v>
      </c>
      <c r="K112" s="49" t="s">
        <v>37</v>
      </c>
      <c r="L112" s="1"/>
      <c r="M112" s="1">
        <v>100</v>
      </c>
      <c r="N112" s="1"/>
      <c r="O112" s="1"/>
      <c r="P112" s="1"/>
    </row>
    <row r="113" spans="1:16" ht="15.75" customHeight="1">
      <c r="A113" s="17">
        <v>11</v>
      </c>
      <c r="B113" s="17" t="s">
        <v>2424</v>
      </c>
      <c r="C113" s="17" t="s">
        <v>227</v>
      </c>
      <c r="D113" s="17" t="s">
        <v>679</v>
      </c>
      <c r="E113" s="17" t="s">
        <v>232</v>
      </c>
      <c r="F113" s="17"/>
      <c r="G113" s="17" t="s">
        <v>35</v>
      </c>
      <c r="H113" s="17">
        <v>1500</v>
      </c>
      <c r="I113" s="105">
        <v>300</v>
      </c>
      <c r="J113" s="49" t="s">
        <v>36</v>
      </c>
      <c r="K113" s="49" t="s">
        <v>37</v>
      </c>
      <c r="L113" s="1"/>
      <c r="M113" s="1">
        <v>300</v>
      </c>
      <c r="N113" s="1"/>
      <c r="O113" s="1"/>
      <c r="P113" s="1"/>
    </row>
    <row r="114" spans="1:16" ht="15.75" customHeight="1">
      <c r="A114" s="49">
        <v>11</v>
      </c>
      <c r="B114" s="49" t="s">
        <v>2166</v>
      </c>
      <c r="C114" s="49" t="s">
        <v>227</v>
      </c>
      <c r="D114" s="49" t="s">
        <v>2425</v>
      </c>
      <c r="E114" s="49" t="s">
        <v>254</v>
      </c>
      <c r="F114" s="49"/>
      <c r="G114" s="49" t="s">
        <v>120</v>
      </c>
      <c r="H114" s="49">
        <v>55</v>
      </c>
      <c r="I114" s="55">
        <v>550</v>
      </c>
      <c r="J114" s="49" t="s">
        <v>36</v>
      </c>
      <c r="K114" s="49" t="s">
        <v>37</v>
      </c>
      <c r="L114" s="1"/>
      <c r="M114" s="1"/>
      <c r="N114" s="1"/>
      <c r="O114" s="1"/>
      <c r="P114" s="1"/>
    </row>
    <row r="115" spans="1:16" ht="15.75" customHeight="1">
      <c r="A115" s="101">
        <v>11</v>
      </c>
      <c r="B115" s="101" t="s">
        <v>1229</v>
      </c>
      <c r="C115" s="101" t="s">
        <v>227</v>
      </c>
      <c r="D115" s="101" t="s">
        <v>934</v>
      </c>
      <c r="E115" s="101" t="s">
        <v>48</v>
      </c>
      <c r="F115" s="101"/>
      <c r="G115" s="101" t="s">
        <v>35</v>
      </c>
      <c r="H115" s="101">
        <v>500</v>
      </c>
      <c r="I115" s="102">
        <v>100</v>
      </c>
      <c r="J115" s="49" t="s">
        <v>36</v>
      </c>
      <c r="K115" s="49" t="s">
        <v>37</v>
      </c>
      <c r="L115" s="1"/>
      <c r="M115" s="1">
        <v>100</v>
      </c>
      <c r="N115" s="1"/>
      <c r="O115" s="1"/>
      <c r="P115" s="1"/>
    </row>
    <row r="116" spans="1:16" ht="15.75" customHeight="1">
      <c r="A116" s="17">
        <v>12</v>
      </c>
      <c r="B116" s="17" t="s">
        <v>2426</v>
      </c>
      <c r="C116" s="17" t="s">
        <v>227</v>
      </c>
      <c r="D116" s="17" t="s">
        <v>2427</v>
      </c>
      <c r="E116" s="17" t="s">
        <v>323</v>
      </c>
      <c r="F116" s="17"/>
      <c r="G116" s="17" t="s">
        <v>120</v>
      </c>
      <c r="H116" s="17">
        <v>42</v>
      </c>
      <c r="I116" s="105">
        <v>420</v>
      </c>
      <c r="J116" s="49" t="s">
        <v>36</v>
      </c>
      <c r="K116" s="49" t="s">
        <v>37</v>
      </c>
      <c r="L116" s="1"/>
      <c r="M116" s="1"/>
      <c r="N116" s="1"/>
      <c r="O116" s="1"/>
      <c r="P116" s="1"/>
    </row>
    <row r="117" spans="1:16" ht="15.75" customHeight="1">
      <c r="A117" s="49">
        <v>12</v>
      </c>
      <c r="B117" s="49" t="s">
        <v>2428</v>
      </c>
      <c r="C117" s="49" t="s">
        <v>227</v>
      </c>
      <c r="D117" s="49"/>
      <c r="E117" s="49" t="s">
        <v>1508</v>
      </c>
      <c r="F117" s="49"/>
      <c r="G117" s="49" t="s">
        <v>35</v>
      </c>
      <c r="H117" s="49">
        <v>150</v>
      </c>
      <c r="I117" s="55">
        <v>30</v>
      </c>
      <c r="J117" s="49" t="s">
        <v>36</v>
      </c>
      <c r="K117" s="49" t="s">
        <v>37</v>
      </c>
      <c r="L117" s="1"/>
      <c r="M117" s="1">
        <v>70</v>
      </c>
      <c r="N117" s="1"/>
      <c r="O117" s="1"/>
      <c r="P117" s="1"/>
    </row>
    <row r="118" spans="1:16" ht="15.75" customHeight="1">
      <c r="A118" s="49">
        <v>12</v>
      </c>
      <c r="B118" s="49" t="s">
        <v>2428</v>
      </c>
      <c r="C118" s="49" t="s">
        <v>227</v>
      </c>
      <c r="D118" s="49"/>
      <c r="E118" s="49" t="s">
        <v>1508</v>
      </c>
      <c r="F118" s="101"/>
      <c r="G118" s="101" t="s">
        <v>35</v>
      </c>
      <c r="H118" s="101">
        <v>200</v>
      </c>
      <c r="I118" s="102">
        <v>60</v>
      </c>
      <c r="J118" s="49" t="s">
        <v>36</v>
      </c>
      <c r="K118" s="49" t="s">
        <v>37</v>
      </c>
      <c r="L118" s="1"/>
      <c r="M118" s="1"/>
      <c r="N118" s="1"/>
      <c r="O118" s="1"/>
      <c r="P118" s="1"/>
    </row>
    <row r="119" spans="1:16" ht="15.75" customHeight="1">
      <c r="A119" s="17">
        <v>13</v>
      </c>
      <c r="B119" s="17" t="s">
        <v>2429</v>
      </c>
      <c r="C119" s="17" t="s">
        <v>227</v>
      </c>
      <c r="D119" s="17" t="s">
        <v>2430</v>
      </c>
      <c r="E119" s="17" t="s">
        <v>2431</v>
      </c>
      <c r="F119" s="17"/>
      <c r="G119" s="17" t="s">
        <v>35</v>
      </c>
      <c r="H119" s="17">
        <v>100</v>
      </c>
      <c r="I119" s="105">
        <v>20</v>
      </c>
      <c r="J119" s="49" t="s">
        <v>36</v>
      </c>
      <c r="K119" s="49" t="s">
        <v>37</v>
      </c>
      <c r="L119" s="1"/>
      <c r="M119" s="1"/>
      <c r="N119" s="1"/>
      <c r="O119" s="1"/>
      <c r="P119" s="1"/>
    </row>
    <row r="120" spans="1:16" ht="15.75" customHeight="1">
      <c r="A120" s="17">
        <v>13</v>
      </c>
      <c r="B120" s="17" t="s">
        <v>2429</v>
      </c>
      <c r="C120" s="17" t="s">
        <v>227</v>
      </c>
      <c r="D120" s="17" t="s">
        <v>2430</v>
      </c>
      <c r="E120" s="17" t="s">
        <v>2431</v>
      </c>
      <c r="F120" s="49"/>
      <c r="G120" s="49" t="s">
        <v>120</v>
      </c>
      <c r="H120" s="49">
        <v>10</v>
      </c>
      <c r="I120" s="55">
        <v>100</v>
      </c>
      <c r="J120" s="49" t="s">
        <v>36</v>
      </c>
      <c r="K120" s="49" t="s">
        <v>37</v>
      </c>
      <c r="L120" s="1"/>
      <c r="M120" s="1"/>
      <c r="N120" s="1"/>
      <c r="O120" s="1"/>
      <c r="P120" s="1"/>
    </row>
    <row r="121" spans="1:16" ht="15.75" customHeight="1">
      <c r="A121" s="49">
        <v>13</v>
      </c>
      <c r="B121" s="49" t="s">
        <v>1332</v>
      </c>
      <c r="C121" s="49" t="s">
        <v>227</v>
      </c>
      <c r="D121" s="49" t="s">
        <v>548</v>
      </c>
      <c r="E121" s="49" t="s">
        <v>48</v>
      </c>
      <c r="F121" s="49"/>
      <c r="G121" s="49" t="s">
        <v>35</v>
      </c>
      <c r="H121" s="49">
        <v>1000</v>
      </c>
      <c r="I121" s="55">
        <v>200</v>
      </c>
      <c r="J121" s="49" t="s">
        <v>36</v>
      </c>
      <c r="K121" s="49" t="s">
        <v>37</v>
      </c>
      <c r="L121" s="3"/>
      <c r="M121" s="1">
        <v>300</v>
      </c>
      <c r="N121" s="1"/>
      <c r="O121" s="1"/>
      <c r="P121" s="1"/>
    </row>
    <row r="122" spans="1:16" ht="15.75" customHeight="1">
      <c r="A122" s="49">
        <v>13</v>
      </c>
      <c r="B122" s="49" t="s">
        <v>1332</v>
      </c>
      <c r="C122" s="49" t="s">
        <v>227</v>
      </c>
      <c r="D122" s="49" t="s">
        <v>548</v>
      </c>
      <c r="E122" s="49" t="s">
        <v>48</v>
      </c>
      <c r="F122" s="49"/>
      <c r="G122" s="49" t="s">
        <v>120</v>
      </c>
      <c r="H122" s="49">
        <v>15</v>
      </c>
      <c r="I122" s="55">
        <v>150</v>
      </c>
      <c r="J122" s="49" t="s">
        <v>36</v>
      </c>
      <c r="K122" s="49" t="s">
        <v>37</v>
      </c>
      <c r="L122" s="1"/>
      <c r="M122" s="1"/>
      <c r="N122" s="1"/>
      <c r="O122" s="1"/>
      <c r="P122" s="1"/>
    </row>
    <row r="123" spans="1:16" ht="15.75" customHeight="1">
      <c r="A123" s="49">
        <v>13</v>
      </c>
      <c r="B123" s="49" t="s">
        <v>2432</v>
      </c>
      <c r="C123" s="49" t="s">
        <v>246</v>
      </c>
      <c r="D123" s="49" t="s">
        <v>234</v>
      </c>
      <c r="E123" s="49" t="s">
        <v>235</v>
      </c>
      <c r="F123" s="49"/>
      <c r="G123" s="49" t="s">
        <v>35</v>
      </c>
      <c r="H123" s="49">
        <v>300</v>
      </c>
      <c r="I123" s="55">
        <v>16</v>
      </c>
      <c r="J123" s="49" t="s">
        <v>36</v>
      </c>
      <c r="K123" s="49" t="s">
        <v>37</v>
      </c>
      <c r="L123" s="3"/>
      <c r="M123" s="1">
        <v>60</v>
      </c>
      <c r="N123" s="1"/>
      <c r="O123" s="1"/>
      <c r="P123" s="1"/>
    </row>
    <row r="124" spans="1:16" ht="15.75" customHeight="1">
      <c r="A124" s="101">
        <v>13</v>
      </c>
      <c r="B124" s="101" t="s">
        <v>2433</v>
      </c>
      <c r="C124" s="101" t="s">
        <v>227</v>
      </c>
      <c r="D124" s="101" t="s">
        <v>1243</v>
      </c>
      <c r="E124" s="101" t="s">
        <v>251</v>
      </c>
      <c r="F124" s="101"/>
      <c r="G124" s="101" t="s">
        <v>35</v>
      </c>
      <c r="H124" s="101">
        <v>350</v>
      </c>
      <c r="I124" s="102">
        <v>70</v>
      </c>
      <c r="J124" s="49" t="s">
        <v>36</v>
      </c>
      <c r="K124" s="49" t="s">
        <v>37</v>
      </c>
      <c r="L124" s="1"/>
      <c r="M124" s="1">
        <v>80</v>
      </c>
      <c r="N124" s="1"/>
      <c r="O124" s="1"/>
      <c r="P124" s="1"/>
    </row>
    <row r="125" spans="1:16" ht="15.75" customHeight="1">
      <c r="A125" s="17">
        <v>14</v>
      </c>
      <c r="B125" s="17" t="s">
        <v>612</v>
      </c>
      <c r="C125" s="17" t="s">
        <v>246</v>
      </c>
      <c r="D125" s="17" t="s">
        <v>613</v>
      </c>
      <c r="E125" s="17" t="s">
        <v>507</v>
      </c>
      <c r="F125" s="17"/>
      <c r="G125" s="17" t="s">
        <v>35</v>
      </c>
      <c r="H125" s="17">
        <v>5000</v>
      </c>
      <c r="I125" s="105">
        <v>1000</v>
      </c>
      <c r="J125" s="49" t="s">
        <v>36</v>
      </c>
      <c r="K125" s="49" t="s">
        <v>37</v>
      </c>
      <c r="L125" s="1"/>
      <c r="M125" s="1">
        <v>1000</v>
      </c>
      <c r="N125" s="1"/>
      <c r="O125" s="1"/>
      <c r="P125" s="1"/>
    </row>
    <row r="126" spans="1:16" ht="15.75" customHeight="1">
      <c r="A126" s="49">
        <v>14</v>
      </c>
      <c r="B126" s="49" t="s">
        <v>2434</v>
      </c>
      <c r="C126" s="49" t="s">
        <v>246</v>
      </c>
      <c r="D126" s="49" t="s">
        <v>234</v>
      </c>
      <c r="E126" s="49" t="s">
        <v>235</v>
      </c>
      <c r="F126" s="49"/>
      <c r="G126" s="49" t="s">
        <v>35</v>
      </c>
      <c r="H126" s="49">
        <v>2800</v>
      </c>
      <c r="I126" s="55">
        <v>560</v>
      </c>
      <c r="J126" s="49" t="s">
        <v>36</v>
      </c>
      <c r="K126" s="49" t="s">
        <v>37</v>
      </c>
      <c r="L126" s="1"/>
      <c r="M126" s="1">
        <v>600</v>
      </c>
      <c r="N126" s="1"/>
      <c r="O126" s="1"/>
      <c r="P126" s="1"/>
    </row>
    <row r="127" spans="1:16" ht="15.75" customHeight="1">
      <c r="A127" s="49">
        <v>14</v>
      </c>
      <c r="B127" s="49" t="s">
        <v>2435</v>
      </c>
      <c r="C127" s="49" t="s">
        <v>227</v>
      </c>
      <c r="D127" s="49" t="s">
        <v>2436</v>
      </c>
      <c r="E127" s="49" t="s">
        <v>1884</v>
      </c>
      <c r="F127" s="49"/>
      <c r="G127" s="49" t="s">
        <v>35</v>
      </c>
      <c r="H127" s="49">
        <v>200</v>
      </c>
      <c r="I127" s="55">
        <v>40</v>
      </c>
      <c r="J127" s="49" t="s">
        <v>36</v>
      </c>
      <c r="K127" s="49" t="s">
        <v>37</v>
      </c>
      <c r="L127" s="139"/>
      <c r="M127" s="1"/>
      <c r="N127" s="1"/>
      <c r="O127" s="1"/>
      <c r="P127" s="1"/>
    </row>
    <row r="128" spans="1:16" ht="15.75" customHeight="1">
      <c r="A128" s="49">
        <v>14</v>
      </c>
      <c r="B128" s="49" t="s">
        <v>2437</v>
      </c>
      <c r="C128" s="49" t="s">
        <v>246</v>
      </c>
      <c r="D128" s="49" t="s">
        <v>32</v>
      </c>
      <c r="E128" s="49" t="s">
        <v>1667</v>
      </c>
      <c r="F128" s="49"/>
      <c r="G128" s="49" t="s">
        <v>35</v>
      </c>
      <c r="H128" s="49">
        <v>7000</v>
      </c>
      <c r="I128" s="55">
        <v>1400</v>
      </c>
      <c r="J128" s="49" t="s">
        <v>36</v>
      </c>
      <c r="K128" s="49" t="s">
        <v>37</v>
      </c>
      <c r="L128" s="1"/>
      <c r="M128" s="1">
        <v>1200</v>
      </c>
      <c r="N128" s="1"/>
      <c r="O128" s="1"/>
      <c r="P128" s="1"/>
    </row>
    <row r="129" spans="1:26" ht="15.75" customHeight="1">
      <c r="A129" s="49">
        <v>14</v>
      </c>
      <c r="B129" s="49" t="s">
        <v>2438</v>
      </c>
      <c r="C129" s="49" t="s">
        <v>227</v>
      </c>
      <c r="D129" s="49" t="s">
        <v>237</v>
      </c>
      <c r="E129" s="49" t="s">
        <v>184</v>
      </c>
      <c r="F129" s="49"/>
      <c r="G129" s="49" t="s">
        <v>35</v>
      </c>
      <c r="H129" s="49">
        <v>1000</v>
      </c>
      <c r="I129" s="55">
        <v>200</v>
      </c>
      <c r="J129" s="49" t="s">
        <v>36</v>
      </c>
      <c r="K129" s="49" t="s">
        <v>37</v>
      </c>
      <c r="L129" s="139"/>
      <c r="M129" s="1">
        <v>300</v>
      </c>
      <c r="N129" s="1"/>
      <c r="O129" s="1"/>
      <c r="P129" s="1"/>
    </row>
    <row r="130" spans="1:26" ht="15.75" customHeight="1">
      <c r="A130" s="49">
        <v>14</v>
      </c>
      <c r="B130" s="49" t="s">
        <v>2439</v>
      </c>
      <c r="C130" s="49" t="s">
        <v>227</v>
      </c>
      <c r="D130" s="49" t="s">
        <v>32</v>
      </c>
      <c r="E130" s="49" t="s">
        <v>507</v>
      </c>
      <c r="F130" s="49"/>
      <c r="G130" s="49" t="s">
        <v>35</v>
      </c>
      <c r="H130" s="49">
        <v>500</v>
      </c>
      <c r="I130" s="55">
        <v>100</v>
      </c>
      <c r="J130" s="49" t="s">
        <v>36</v>
      </c>
      <c r="K130" s="49" t="s">
        <v>37</v>
      </c>
      <c r="L130" s="139"/>
      <c r="M130" s="1">
        <v>100</v>
      </c>
      <c r="N130" s="1"/>
      <c r="O130" s="1"/>
      <c r="P130" s="1"/>
    </row>
    <row r="131" spans="1:26" ht="15.75" customHeight="1">
      <c r="A131" s="49">
        <v>14</v>
      </c>
      <c r="B131" s="49" t="s">
        <v>2439</v>
      </c>
      <c r="C131" s="49" t="s">
        <v>227</v>
      </c>
      <c r="D131" s="49" t="s">
        <v>32</v>
      </c>
      <c r="E131" s="49" t="s">
        <v>507</v>
      </c>
      <c r="F131" s="49"/>
      <c r="G131" s="49" t="s">
        <v>120</v>
      </c>
      <c r="H131" s="49">
        <v>20</v>
      </c>
      <c r="I131" s="55">
        <v>200</v>
      </c>
      <c r="J131" s="49" t="s">
        <v>36</v>
      </c>
      <c r="K131" s="49" t="s">
        <v>37</v>
      </c>
      <c r="L131" s="1"/>
      <c r="M131" s="1"/>
      <c r="N131" s="1"/>
      <c r="O131" s="1"/>
      <c r="P131" s="1"/>
    </row>
    <row r="132" spans="1:26" ht="15.75" customHeight="1">
      <c r="A132" s="49">
        <v>14</v>
      </c>
      <c r="B132" s="49" t="s">
        <v>2440</v>
      </c>
      <c r="C132" s="49" t="s">
        <v>246</v>
      </c>
      <c r="D132" s="49" t="s">
        <v>1245</v>
      </c>
      <c r="E132" s="49" t="s">
        <v>323</v>
      </c>
      <c r="F132" s="49"/>
      <c r="G132" s="49" t="s">
        <v>242</v>
      </c>
      <c r="H132" s="49">
        <v>20</v>
      </c>
      <c r="I132" s="55">
        <v>60</v>
      </c>
      <c r="J132" s="49" t="s">
        <v>36</v>
      </c>
      <c r="K132" s="49" t="s">
        <v>37</v>
      </c>
      <c r="L132" s="1"/>
      <c r="M132" s="1"/>
      <c r="N132" s="1"/>
      <c r="O132" s="1"/>
      <c r="P132" s="1"/>
    </row>
    <row r="133" spans="1:26" ht="15.75" customHeight="1">
      <c r="A133" s="49">
        <v>14</v>
      </c>
      <c r="B133" s="49" t="s">
        <v>2441</v>
      </c>
      <c r="C133" s="49" t="s">
        <v>227</v>
      </c>
      <c r="D133" s="49" t="s">
        <v>858</v>
      </c>
      <c r="E133" s="49" t="s">
        <v>232</v>
      </c>
      <c r="F133" s="49"/>
      <c r="G133" s="49" t="s">
        <v>35</v>
      </c>
      <c r="H133" s="50">
        <v>3000</v>
      </c>
      <c r="I133" s="55">
        <v>600</v>
      </c>
      <c r="J133" s="49" t="s">
        <v>36</v>
      </c>
      <c r="K133" s="49" t="s">
        <v>37</v>
      </c>
      <c r="L133" s="1"/>
      <c r="M133" s="1"/>
      <c r="N133" s="1"/>
      <c r="O133" s="1"/>
      <c r="P133" s="1"/>
    </row>
    <row r="134" spans="1:26" ht="15.75" customHeight="1">
      <c r="A134" s="49">
        <v>14</v>
      </c>
      <c r="B134" s="49" t="s">
        <v>1809</v>
      </c>
      <c r="C134" s="49" t="s">
        <v>227</v>
      </c>
      <c r="D134" s="49" t="s">
        <v>323</v>
      </c>
      <c r="E134" s="49" t="s">
        <v>232</v>
      </c>
      <c r="F134" s="49"/>
      <c r="G134" s="49" t="s">
        <v>35</v>
      </c>
      <c r="H134" s="50">
        <v>1500</v>
      </c>
      <c r="I134" s="55">
        <v>300</v>
      </c>
      <c r="J134" s="49" t="s">
        <v>36</v>
      </c>
      <c r="K134" s="49" t="s">
        <v>37</v>
      </c>
      <c r="L134" s="1"/>
      <c r="M134" s="1"/>
      <c r="N134" s="1"/>
      <c r="O134" s="1"/>
      <c r="P134" s="1"/>
    </row>
    <row r="135" spans="1:26" ht="15.75" customHeight="1">
      <c r="A135" s="49">
        <v>14</v>
      </c>
      <c r="B135" s="49" t="s">
        <v>1809</v>
      </c>
      <c r="C135" s="49" t="s">
        <v>227</v>
      </c>
      <c r="D135" s="49" t="s">
        <v>323</v>
      </c>
      <c r="E135" s="49" t="s">
        <v>232</v>
      </c>
      <c r="F135" s="49"/>
      <c r="G135" s="49" t="s">
        <v>120</v>
      </c>
      <c r="H135" s="50">
        <v>15</v>
      </c>
      <c r="I135" s="55">
        <v>150</v>
      </c>
      <c r="J135" s="49" t="s">
        <v>36</v>
      </c>
      <c r="K135" s="49" t="s">
        <v>37</v>
      </c>
      <c r="L135" s="1"/>
      <c r="M135" s="1"/>
      <c r="N135" s="1"/>
      <c r="O135" s="1"/>
      <c r="P135" s="1"/>
    </row>
    <row r="136" spans="1:26" ht="15.75" customHeight="1">
      <c r="A136" s="49">
        <v>14</v>
      </c>
      <c r="B136" s="49" t="s">
        <v>2442</v>
      </c>
      <c r="C136" s="49" t="s">
        <v>227</v>
      </c>
      <c r="D136" s="49" t="s">
        <v>323</v>
      </c>
      <c r="E136" s="49" t="s">
        <v>232</v>
      </c>
      <c r="F136" s="49"/>
      <c r="G136" s="49" t="s">
        <v>35</v>
      </c>
      <c r="H136" s="50">
        <v>500</v>
      </c>
      <c r="I136" s="55"/>
      <c r="J136" s="49" t="s">
        <v>43</v>
      </c>
      <c r="K136" s="49" t="s">
        <v>37</v>
      </c>
      <c r="L136" s="1"/>
      <c r="M136" s="1">
        <v>300</v>
      </c>
      <c r="N136" s="1"/>
      <c r="O136" s="1"/>
      <c r="P136" s="1"/>
    </row>
    <row r="137" spans="1:26" ht="15.75" customHeight="1">
      <c r="A137" s="49">
        <v>14</v>
      </c>
      <c r="B137" s="49" t="s">
        <v>2442</v>
      </c>
      <c r="C137" s="49" t="s">
        <v>227</v>
      </c>
      <c r="D137" s="49" t="s">
        <v>323</v>
      </c>
      <c r="E137" s="49" t="s">
        <v>232</v>
      </c>
      <c r="F137" s="49"/>
      <c r="G137" s="49"/>
      <c r="H137" s="50">
        <v>1000</v>
      </c>
      <c r="I137" s="55">
        <v>200</v>
      </c>
      <c r="J137" s="49" t="s">
        <v>36</v>
      </c>
      <c r="K137" s="49" t="s">
        <v>37</v>
      </c>
      <c r="L137" s="1"/>
      <c r="M137" s="1"/>
      <c r="N137" s="1"/>
      <c r="O137" s="1"/>
      <c r="P137" s="1"/>
    </row>
    <row r="138" spans="1:26" ht="15.75" customHeight="1">
      <c r="A138" s="49">
        <v>14</v>
      </c>
      <c r="B138" s="49" t="s">
        <v>2443</v>
      </c>
      <c r="C138" s="49" t="s">
        <v>227</v>
      </c>
      <c r="D138" s="49" t="s">
        <v>365</v>
      </c>
      <c r="E138" s="49" t="s">
        <v>232</v>
      </c>
      <c r="F138" s="49"/>
      <c r="G138" s="49" t="s">
        <v>35</v>
      </c>
      <c r="H138" s="50">
        <v>500</v>
      </c>
      <c r="I138" s="55"/>
      <c r="J138" s="49" t="s">
        <v>43</v>
      </c>
      <c r="K138" s="49" t="s">
        <v>37</v>
      </c>
      <c r="L138" s="1"/>
      <c r="M138" s="1">
        <v>280</v>
      </c>
      <c r="N138" s="1"/>
      <c r="O138" s="1"/>
      <c r="P138" s="1"/>
    </row>
    <row r="139" spans="1:26" ht="15.75" customHeight="1">
      <c r="A139" s="49">
        <v>14</v>
      </c>
      <c r="B139" s="49" t="s">
        <v>2443</v>
      </c>
      <c r="C139" s="49" t="s">
        <v>227</v>
      </c>
      <c r="D139" s="49" t="s">
        <v>365</v>
      </c>
      <c r="E139" s="49" t="s">
        <v>232</v>
      </c>
      <c r="F139" s="49"/>
      <c r="G139" s="49"/>
      <c r="H139" s="50">
        <v>900</v>
      </c>
      <c r="I139" s="55">
        <v>180</v>
      </c>
      <c r="J139" s="49" t="s">
        <v>36</v>
      </c>
      <c r="K139" s="49" t="s">
        <v>37</v>
      </c>
      <c r="L139" s="1"/>
      <c r="M139" s="1"/>
      <c r="N139" s="1"/>
      <c r="O139" s="1"/>
      <c r="P139" s="1"/>
    </row>
    <row r="140" spans="1:26" ht="15.75" customHeight="1">
      <c r="A140" s="49">
        <v>14</v>
      </c>
      <c r="B140" s="49" t="s">
        <v>2444</v>
      </c>
      <c r="C140" s="49" t="s">
        <v>246</v>
      </c>
      <c r="D140" s="49" t="s">
        <v>365</v>
      </c>
      <c r="E140" s="49" t="s">
        <v>232</v>
      </c>
      <c r="F140" s="49"/>
      <c r="G140" s="49" t="s">
        <v>35</v>
      </c>
      <c r="H140" s="50">
        <v>500</v>
      </c>
      <c r="I140" s="55"/>
      <c r="J140" s="49" t="s">
        <v>43</v>
      </c>
      <c r="K140" s="49" t="s">
        <v>37</v>
      </c>
      <c r="L140" s="1"/>
      <c r="M140" s="1">
        <v>400</v>
      </c>
      <c r="N140" s="1"/>
      <c r="O140" s="1"/>
      <c r="P140" s="1"/>
    </row>
    <row r="141" spans="1:26" ht="15.75" customHeight="1">
      <c r="A141" s="49">
        <v>14</v>
      </c>
      <c r="B141" s="49" t="s">
        <v>2444</v>
      </c>
      <c r="C141" s="49" t="s">
        <v>246</v>
      </c>
      <c r="D141" s="49" t="s">
        <v>365</v>
      </c>
      <c r="E141" s="49" t="s">
        <v>232</v>
      </c>
      <c r="F141" s="49"/>
      <c r="G141" s="49"/>
      <c r="H141" s="50">
        <v>900</v>
      </c>
      <c r="I141" s="55">
        <v>180</v>
      </c>
      <c r="J141" s="49" t="s">
        <v>36</v>
      </c>
      <c r="K141" s="49" t="s">
        <v>37</v>
      </c>
      <c r="L141" s="1"/>
      <c r="M141" s="1"/>
      <c r="N141" s="1"/>
      <c r="O141" s="1"/>
      <c r="P141" s="1"/>
    </row>
    <row r="142" spans="1:26" ht="15.75" customHeight="1">
      <c r="A142" s="101">
        <v>14</v>
      </c>
      <c r="B142" s="101" t="s">
        <v>2445</v>
      </c>
      <c r="C142" s="101" t="s">
        <v>227</v>
      </c>
      <c r="D142" s="101" t="s">
        <v>365</v>
      </c>
      <c r="E142" s="101" t="s">
        <v>232</v>
      </c>
      <c r="F142" s="101"/>
      <c r="G142" s="101" t="s">
        <v>35</v>
      </c>
      <c r="H142" s="114">
        <v>600</v>
      </c>
      <c r="I142" s="102">
        <v>120</v>
      </c>
      <c r="J142" s="101" t="s">
        <v>36</v>
      </c>
      <c r="K142" s="49" t="s">
        <v>37</v>
      </c>
      <c r="L142" s="1"/>
      <c r="M142" s="1">
        <v>300</v>
      </c>
      <c r="N142" s="1"/>
      <c r="O142" s="1"/>
      <c r="P142" s="1"/>
    </row>
    <row r="143" spans="1:26" ht="15.75" customHeight="1">
      <c r="A143" s="17">
        <v>15</v>
      </c>
      <c r="B143" s="17" t="s">
        <v>2446</v>
      </c>
      <c r="C143" s="17" t="s">
        <v>227</v>
      </c>
      <c r="D143" s="17" t="s">
        <v>32</v>
      </c>
      <c r="E143" s="17" t="s">
        <v>80</v>
      </c>
      <c r="F143" s="17"/>
      <c r="G143" s="17" t="s">
        <v>120</v>
      </c>
      <c r="H143" s="116">
        <v>20</v>
      </c>
      <c r="I143" s="105">
        <v>200</v>
      </c>
      <c r="J143" s="101" t="s">
        <v>36</v>
      </c>
      <c r="K143" s="49" t="s">
        <v>37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01">
        <v>15</v>
      </c>
      <c r="B144" s="101" t="s">
        <v>2447</v>
      </c>
      <c r="C144" s="101" t="s">
        <v>246</v>
      </c>
      <c r="D144" s="101" t="s">
        <v>2448</v>
      </c>
      <c r="E144" s="101" t="s">
        <v>232</v>
      </c>
      <c r="F144" s="101"/>
      <c r="G144" s="101" t="s">
        <v>35</v>
      </c>
      <c r="H144" s="114">
        <v>1000</v>
      </c>
      <c r="I144" s="102">
        <v>200</v>
      </c>
      <c r="J144" s="101" t="s">
        <v>36</v>
      </c>
      <c r="K144" s="49" t="s">
        <v>37</v>
      </c>
      <c r="L144" s="1"/>
      <c r="M144" s="1">
        <v>500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7">
        <v>16</v>
      </c>
      <c r="B145" s="17" t="s">
        <v>2449</v>
      </c>
      <c r="C145" s="17" t="s">
        <v>227</v>
      </c>
      <c r="D145" s="17" t="s">
        <v>198</v>
      </c>
      <c r="E145" s="17" t="s">
        <v>199</v>
      </c>
      <c r="F145" s="17"/>
      <c r="G145" s="17" t="s">
        <v>35</v>
      </c>
      <c r="H145" s="116">
        <v>7000</v>
      </c>
      <c r="I145" s="105">
        <v>1400</v>
      </c>
      <c r="J145" s="17" t="s">
        <v>36</v>
      </c>
      <c r="K145" s="49" t="s">
        <v>37</v>
      </c>
      <c r="L145" s="4"/>
      <c r="M145" s="1">
        <v>1400</v>
      </c>
      <c r="N145" s="1"/>
      <c r="O145" s="1"/>
      <c r="P145" s="1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spans="1:26" ht="15.75" customHeight="1">
      <c r="A146" s="49">
        <v>16</v>
      </c>
      <c r="B146" s="49" t="s">
        <v>2450</v>
      </c>
      <c r="C146" s="49" t="s">
        <v>246</v>
      </c>
      <c r="D146" s="49" t="s">
        <v>2451</v>
      </c>
      <c r="E146" s="49" t="s">
        <v>248</v>
      </c>
      <c r="F146" s="49"/>
      <c r="G146" s="49" t="s">
        <v>35</v>
      </c>
      <c r="H146" s="50">
        <v>4500</v>
      </c>
      <c r="I146" s="55">
        <v>900</v>
      </c>
      <c r="J146" s="49" t="s">
        <v>36</v>
      </c>
      <c r="K146" s="49" t="s">
        <v>37</v>
      </c>
      <c r="L146" s="1"/>
      <c r="M146" s="1">
        <v>5000</v>
      </c>
      <c r="N146" s="1"/>
      <c r="O146" s="1"/>
      <c r="P146" s="1"/>
    </row>
    <row r="147" spans="1:26" ht="15.75" customHeight="1">
      <c r="A147" s="49">
        <v>16</v>
      </c>
      <c r="B147" s="49" t="s">
        <v>2452</v>
      </c>
      <c r="C147" s="49" t="s">
        <v>227</v>
      </c>
      <c r="D147" s="49" t="s">
        <v>2453</v>
      </c>
      <c r="E147" s="49" t="s">
        <v>248</v>
      </c>
      <c r="F147" s="49"/>
      <c r="G147" s="49" t="s">
        <v>35</v>
      </c>
      <c r="H147" s="50">
        <v>8000</v>
      </c>
      <c r="I147" s="55">
        <v>1600</v>
      </c>
      <c r="J147" s="49" t="s">
        <v>36</v>
      </c>
      <c r="K147" s="49" t="s">
        <v>37</v>
      </c>
      <c r="L147" s="4"/>
      <c r="M147" s="1">
        <v>1500</v>
      </c>
      <c r="N147" s="1"/>
      <c r="O147" s="1"/>
      <c r="P147" s="1"/>
    </row>
    <row r="148" spans="1:26" ht="15.75" customHeight="1">
      <c r="A148" s="49">
        <v>16</v>
      </c>
      <c r="B148" s="49" t="s">
        <v>2454</v>
      </c>
      <c r="C148" s="49" t="s">
        <v>227</v>
      </c>
      <c r="D148" s="49" t="s">
        <v>164</v>
      </c>
      <c r="E148" s="49" t="s">
        <v>321</v>
      </c>
      <c r="F148" s="49"/>
      <c r="G148" s="49" t="s">
        <v>35</v>
      </c>
      <c r="H148" s="50">
        <v>500</v>
      </c>
      <c r="I148" s="55">
        <v>100</v>
      </c>
      <c r="J148" s="49" t="s">
        <v>36</v>
      </c>
      <c r="K148" s="49" t="s">
        <v>37</v>
      </c>
      <c r="L148" s="1"/>
      <c r="M148" s="1">
        <v>100</v>
      </c>
      <c r="N148" s="1"/>
      <c r="O148" s="1"/>
      <c r="P148" s="1"/>
    </row>
    <row r="149" spans="1:26" ht="15.75" customHeight="1">
      <c r="A149" s="49">
        <v>16</v>
      </c>
      <c r="B149" s="49" t="s">
        <v>2455</v>
      </c>
      <c r="C149" s="49" t="s">
        <v>227</v>
      </c>
      <c r="D149" s="49" t="s">
        <v>910</v>
      </c>
      <c r="E149" s="49" t="s">
        <v>248</v>
      </c>
      <c r="F149" s="49"/>
      <c r="G149" s="49" t="s">
        <v>35</v>
      </c>
      <c r="H149" s="50">
        <v>2000</v>
      </c>
      <c r="I149" s="55">
        <v>400</v>
      </c>
      <c r="J149" s="49" t="s">
        <v>36</v>
      </c>
      <c r="K149" s="49" t="s">
        <v>37</v>
      </c>
      <c r="L149" s="1"/>
      <c r="M149" s="1">
        <v>400</v>
      </c>
      <c r="N149" s="1"/>
      <c r="O149" s="1"/>
      <c r="P149" s="1"/>
    </row>
    <row r="150" spans="1:26" ht="15.75" customHeight="1">
      <c r="A150" s="49">
        <v>16</v>
      </c>
      <c r="B150" s="49" t="s">
        <v>2456</v>
      </c>
      <c r="C150" s="49" t="s">
        <v>227</v>
      </c>
      <c r="D150" s="49" t="s">
        <v>1097</v>
      </c>
      <c r="E150" s="49" t="s">
        <v>51</v>
      </c>
      <c r="F150" s="49"/>
      <c r="G150" s="49" t="s">
        <v>35</v>
      </c>
      <c r="H150" s="50">
        <v>2700</v>
      </c>
      <c r="I150" s="55">
        <v>540</v>
      </c>
      <c r="J150" s="49" t="s">
        <v>36</v>
      </c>
      <c r="K150" s="49" t="s">
        <v>37</v>
      </c>
      <c r="L150" s="4"/>
      <c r="M150" s="1">
        <v>600</v>
      </c>
      <c r="N150" s="1"/>
      <c r="O150" s="1"/>
      <c r="P150" s="1"/>
    </row>
    <row r="151" spans="1:26" ht="15.75" customHeight="1">
      <c r="A151" s="49">
        <v>16</v>
      </c>
      <c r="B151" s="49" t="s">
        <v>2457</v>
      </c>
      <c r="C151" s="49" t="s">
        <v>227</v>
      </c>
      <c r="D151" s="49" t="s">
        <v>444</v>
      </c>
      <c r="E151" s="49" t="s">
        <v>254</v>
      </c>
      <c r="F151" s="49"/>
      <c r="G151" s="49" t="s">
        <v>120</v>
      </c>
      <c r="H151" s="50">
        <v>20</v>
      </c>
      <c r="I151" s="55">
        <v>200</v>
      </c>
      <c r="J151" s="49" t="s">
        <v>36</v>
      </c>
      <c r="K151" s="49" t="s">
        <v>37</v>
      </c>
      <c r="L151" s="1"/>
      <c r="M151" s="1"/>
      <c r="N151" s="1"/>
      <c r="O151" s="1"/>
      <c r="P151" s="1"/>
    </row>
    <row r="152" spans="1:26" ht="15.75" customHeight="1">
      <c r="A152" s="49">
        <v>16</v>
      </c>
      <c r="B152" s="49" t="s">
        <v>1381</v>
      </c>
      <c r="C152" s="49" t="s">
        <v>227</v>
      </c>
      <c r="D152" s="49" t="s">
        <v>231</v>
      </c>
      <c r="E152" s="49" t="s">
        <v>232</v>
      </c>
      <c r="F152" s="49"/>
      <c r="G152" s="49" t="s">
        <v>35</v>
      </c>
      <c r="H152" s="50">
        <v>5000</v>
      </c>
      <c r="I152" s="55">
        <v>1000</v>
      </c>
      <c r="J152" s="49" t="s">
        <v>36</v>
      </c>
      <c r="K152" s="49" t="s">
        <v>37</v>
      </c>
      <c r="L152" s="1"/>
      <c r="M152" s="1">
        <v>1000</v>
      </c>
      <c r="N152" s="1"/>
      <c r="O152" s="1"/>
      <c r="P152" s="1"/>
    </row>
    <row r="153" spans="1:26" ht="15.75" customHeight="1">
      <c r="A153" s="49">
        <v>16</v>
      </c>
      <c r="B153" s="49" t="s">
        <v>994</v>
      </c>
      <c r="C153" s="49" t="s">
        <v>227</v>
      </c>
      <c r="D153" s="49" t="s">
        <v>292</v>
      </c>
      <c r="E153" s="49" t="s">
        <v>235</v>
      </c>
      <c r="F153" s="49"/>
      <c r="G153" s="49" t="s">
        <v>35</v>
      </c>
      <c r="H153" s="50">
        <v>500</v>
      </c>
      <c r="I153" s="55">
        <v>300</v>
      </c>
      <c r="J153" s="49" t="s">
        <v>36</v>
      </c>
      <c r="K153" s="49" t="s">
        <v>37</v>
      </c>
      <c r="L153" s="1"/>
      <c r="M153" s="1">
        <v>200</v>
      </c>
      <c r="N153" s="4">
        <f>H157+H161+H167+H176+H178+H184+H190+H214+H233+H234+H241+H250+H254+H259+H261+H264+H275</f>
        <v>283</v>
      </c>
      <c r="O153" s="1" t="s">
        <v>2458</v>
      </c>
      <c r="P153" s="1"/>
    </row>
    <row r="154" spans="1:26" ht="15.75" customHeight="1">
      <c r="A154" s="49">
        <v>16</v>
      </c>
      <c r="B154" s="49" t="s">
        <v>2459</v>
      </c>
      <c r="C154" s="49" t="s">
        <v>227</v>
      </c>
      <c r="D154" s="49" t="s">
        <v>2460</v>
      </c>
      <c r="E154" s="49" t="s">
        <v>323</v>
      </c>
      <c r="F154" s="49"/>
      <c r="G154" s="49" t="s">
        <v>35</v>
      </c>
      <c r="H154" s="50">
        <v>500</v>
      </c>
      <c r="I154" s="55"/>
      <c r="J154" s="49" t="s">
        <v>43</v>
      </c>
      <c r="K154" s="49" t="s">
        <v>37</v>
      </c>
      <c r="L154" s="1"/>
      <c r="M154" s="1">
        <v>1380</v>
      </c>
      <c r="N154" s="4">
        <f>H185+H186+H249</f>
        <v>170</v>
      </c>
      <c r="O154" s="1" t="s">
        <v>2461</v>
      </c>
      <c r="P154" s="1"/>
    </row>
    <row r="155" spans="1:26" ht="15.75" customHeight="1">
      <c r="A155" s="49">
        <v>16</v>
      </c>
      <c r="B155" s="49" t="s">
        <v>2459</v>
      </c>
      <c r="C155" s="49" t="s">
        <v>227</v>
      </c>
      <c r="D155" s="49" t="s">
        <v>2460</v>
      </c>
      <c r="E155" s="49" t="s">
        <v>323</v>
      </c>
      <c r="F155" s="49"/>
      <c r="G155" s="49"/>
      <c r="H155" s="50">
        <v>2000</v>
      </c>
      <c r="I155" s="55">
        <v>400</v>
      </c>
      <c r="J155" s="49" t="s">
        <v>36</v>
      </c>
      <c r="K155" s="49" t="s">
        <v>37</v>
      </c>
      <c r="L155" s="1"/>
      <c r="M155" s="1"/>
      <c r="N155" s="1"/>
      <c r="O155" s="1"/>
      <c r="P155" s="1"/>
    </row>
    <row r="156" spans="1:26" ht="15.75" customHeight="1">
      <c r="A156" s="101">
        <v>16</v>
      </c>
      <c r="B156" s="101" t="s">
        <v>2462</v>
      </c>
      <c r="C156" s="101" t="s">
        <v>227</v>
      </c>
      <c r="D156" s="101" t="s">
        <v>2463</v>
      </c>
      <c r="E156" s="101" t="s">
        <v>232</v>
      </c>
      <c r="F156" s="101"/>
      <c r="G156" s="101" t="s">
        <v>35</v>
      </c>
      <c r="H156" s="114">
        <v>500</v>
      </c>
      <c r="I156" s="102"/>
      <c r="J156" s="101" t="s">
        <v>43</v>
      </c>
      <c r="K156" s="49" t="s">
        <v>37</v>
      </c>
      <c r="L156" s="1"/>
      <c r="M156" s="1">
        <v>100</v>
      </c>
      <c r="N156" s="1"/>
      <c r="O156" s="1"/>
      <c r="P156" s="1"/>
    </row>
    <row r="157" spans="1:26" ht="15.75" customHeight="1">
      <c r="A157" s="17">
        <v>17</v>
      </c>
      <c r="B157" s="17" t="s">
        <v>2273</v>
      </c>
      <c r="C157" s="17" t="s">
        <v>227</v>
      </c>
      <c r="D157" s="17" t="s">
        <v>2464</v>
      </c>
      <c r="E157" s="17" t="s">
        <v>251</v>
      </c>
      <c r="F157" s="17"/>
      <c r="G157" s="17" t="s">
        <v>120</v>
      </c>
      <c r="H157" s="116">
        <v>20</v>
      </c>
      <c r="I157" s="105">
        <v>200</v>
      </c>
      <c r="J157" s="101" t="s">
        <v>43</v>
      </c>
      <c r="K157" s="49" t="s">
        <v>37</v>
      </c>
      <c r="L157" s="1"/>
      <c r="M157" s="1"/>
      <c r="N157" s="1"/>
      <c r="O157" s="1"/>
      <c r="P157" s="1"/>
    </row>
    <row r="158" spans="1:26" ht="15.75" customHeight="1">
      <c r="A158" s="49">
        <v>17</v>
      </c>
      <c r="B158" s="49" t="s">
        <v>2465</v>
      </c>
      <c r="C158" s="49" t="s">
        <v>227</v>
      </c>
      <c r="D158" s="49" t="s">
        <v>1215</v>
      </c>
      <c r="E158" s="49" t="s">
        <v>232</v>
      </c>
      <c r="F158" s="49"/>
      <c r="G158" s="49" t="s">
        <v>35</v>
      </c>
      <c r="H158" s="50">
        <v>500</v>
      </c>
      <c r="I158" s="55"/>
      <c r="J158" s="49" t="s">
        <v>43</v>
      </c>
      <c r="K158" s="49" t="s">
        <v>37</v>
      </c>
      <c r="L158" s="1"/>
      <c r="M158" s="1"/>
      <c r="N158" s="1"/>
      <c r="O158" s="1"/>
      <c r="P158" s="1"/>
    </row>
    <row r="159" spans="1:26" ht="15.75" customHeight="1">
      <c r="A159" s="49">
        <v>17</v>
      </c>
      <c r="B159" s="49" t="s">
        <v>2466</v>
      </c>
      <c r="C159" s="49" t="s">
        <v>227</v>
      </c>
      <c r="D159" s="49" t="s">
        <v>193</v>
      </c>
      <c r="E159" s="49" t="s">
        <v>89</v>
      </c>
      <c r="F159" s="49"/>
      <c r="G159" s="49" t="s">
        <v>35</v>
      </c>
      <c r="H159" s="50">
        <v>5000</v>
      </c>
      <c r="I159" s="55">
        <v>1000</v>
      </c>
      <c r="J159" s="49" t="s">
        <v>36</v>
      </c>
      <c r="K159" s="49" t="s">
        <v>37</v>
      </c>
      <c r="L159" s="1"/>
      <c r="M159" s="1">
        <v>1000</v>
      </c>
      <c r="N159" s="1"/>
      <c r="O159" s="1"/>
      <c r="P159" s="1"/>
    </row>
    <row r="160" spans="1:26" ht="15.75" customHeight="1">
      <c r="A160" s="49">
        <v>17</v>
      </c>
      <c r="B160" s="49" t="s">
        <v>2467</v>
      </c>
      <c r="C160" s="49" t="s">
        <v>246</v>
      </c>
      <c r="D160" s="49" t="s">
        <v>2468</v>
      </c>
      <c r="E160" s="49" t="s">
        <v>2431</v>
      </c>
      <c r="F160" s="49"/>
      <c r="G160" s="49" t="s">
        <v>35</v>
      </c>
      <c r="H160" s="50">
        <v>13000</v>
      </c>
      <c r="I160" s="55">
        <v>2600</v>
      </c>
      <c r="J160" s="49" t="s">
        <v>36</v>
      </c>
      <c r="K160" s="49" t="s">
        <v>37</v>
      </c>
      <c r="L160" s="1"/>
      <c r="M160" s="1"/>
      <c r="N160" s="1"/>
      <c r="O160" s="1"/>
      <c r="P160" s="1"/>
    </row>
    <row r="161" spans="1:16" ht="15.75" customHeight="1">
      <c r="A161" s="49">
        <v>17</v>
      </c>
      <c r="B161" s="49" t="s">
        <v>2467</v>
      </c>
      <c r="C161" s="49" t="s">
        <v>246</v>
      </c>
      <c r="D161" s="49" t="s">
        <v>2468</v>
      </c>
      <c r="E161" s="49" t="s">
        <v>2431</v>
      </c>
      <c r="F161" s="49"/>
      <c r="G161" s="49" t="s">
        <v>120</v>
      </c>
      <c r="H161" s="50">
        <v>30</v>
      </c>
      <c r="I161" s="55">
        <v>300</v>
      </c>
      <c r="J161" s="49" t="s">
        <v>36</v>
      </c>
      <c r="K161" s="49" t="s">
        <v>37</v>
      </c>
      <c r="L161" s="1"/>
      <c r="M161" s="1"/>
      <c r="N161" s="1"/>
      <c r="O161" s="1"/>
      <c r="P161" s="1"/>
    </row>
    <row r="162" spans="1:16" ht="15.75" customHeight="1">
      <c r="A162" s="101">
        <v>17</v>
      </c>
      <c r="B162" s="101" t="s">
        <v>2469</v>
      </c>
      <c r="C162" s="101" t="s">
        <v>227</v>
      </c>
      <c r="D162" s="101" t="s">
        <v>947</v>
      </c>
      <c r="E162" s="101" t="s">
        <v>251</v>
      </c>
      <c r="F162" s="101"/>
      <c r="G162" s="101" t="s">
        <v>35</v>
      </c>
      <c r="H162" s="114">
        <v>1000</v>
      </c>
      <c r="I162" s="102">
        <v>200</v>
      </c>
      <c r="J162" s="49" t="s">
        <v>36</v>
      </c>
      <c r="K162" s="49" t="s">
        <v>37</v>
      </c>
      <c r="L162" s="1"/>
      <c r="M162" s="1"/>
      <c r="N162" s="1"/>
      <c r="O162" s="1"/>
      <c r="P162" s="1"/>
    </row>
    <row r="163" spans="1:16" ht="15.75" customHeight="1">
      <c r="A163" s="17">
        <v>18</v>
      </c>
      <c r="B163" s="17" t="s">
        <v>650</v>
      </c>
      <c r="C163" s="17" t="s">
        <v>227</v>
      </c>
      <c r="D163" s="17" t="s">
        <v>234</v>
      </c>
      <c r="E163" s="17" t="s">
        <v>235</v>
      </c>
      <c r="F163" s="17"/>
      <c r="G163" s="17" t="s">
        <v>35</v>
      </c>
      <c r="H163" s="116">
        <v>6000</v>
      </c>
      <c r="I163" s="105">
        <v>1200</v>
      </c>
      <c r="J163" s="17" t="s">
        <v>36</v>
      </c>
      <c r="K163" s="49" t="s">
        <v>37</v>
      </c>
      <c r="L163" s="4"/>
      <c r="M163" s="1"/>
      <c r="N163" s="1"/>
      <c r="O163" s="1"/>
      <c r="P163" s="1"/>
    </row>
    <row r="164" spans="1:16" ht="15.75" customHeight="1">
      <c r="A164" s="49">
        <v>18</v>
      </c>
      <c r="B164" s="49" t="s">
        <v>672</v>
      </c>
      <c r="C164" s="49" t="s">
        <v>227</v>
      </c>
      <c r="D164" s="49" t="s">
        <v>619</v>
      </c>
      <c r="E164" s="49" t="s">
        <v>193</v>
      </c>
      <c r="F164" s="49"/>
      <c r="G164" s="49" t="s">
        <v>35</v>
      </c>
      <c r="H164" s="50">
        <v>4000</v>
      </c>
      <c r="I164" s="55">
        <v>800</v>
      </c>
      <c r="J164" s="49" t="s">
        <v>36</v>
      </c>
      <c r="K164" s="49" t="s">
        <v>37</v>
      </c>
      <c r="L164" s="1"/>
      <c r="M164" s="1"/>
      <c r="N164" s="1"/>
      <c r="O164" s="1"/>
      <c r="P164" s="1"/>
    </row>
    <row r="165" spans="1:16" ht="15.75" customHeight="1">
      <c r="A165" s="49">
        <v>18</v>
      </c>
      <c r="B165" s="49" t="s">
        <v>2470</v>
      </c>
      <c r="C165" s="49" t="s">
        <v>246</v>
      </c>
      <c r="D165" s="49" t="s">
        <v>728</v>
      </c>
      <c r="E165" s="49" t="s">
        <v>184</v>
      </c>
      <c r="F165" s="49"/>
      <c r="G165" s="49" t="s">
        <v>35</v>
      </c>
      <c r="H165" s="50">
        <v>3000</v>
      </c>
      <c r="I165" s="55">
        <v>600</v>
      </c>
      <c r="J165" s="49" t="s">
        <v>36</v>
      </c>
      <c r="K165" s="49" t="s">
        <v>37</v>
      </c>
      <c r="L165" s="1"/>
      <c r="M165" s="1"/>
      <c r="N165" s="1"/>
      <c r="O165" s="1"/>
      <c r="P165" s="1"/>
    </row>
    <row r="166" spans="1:16" ht="15.75" customHeight="1">
      <c r="A166" s="49">
        <v>18</v>
      </c>
      <c r="B166" s="49" t="s">
        <v>2471</v>
      </c>
      <c r="C166" s="49" t="s">
        <v>227</v>
      </c>
      <c r="D166" s="49" t="s">
        <v>256</v>
      </c>
      <c r="E166" s="49" t="s">
        <v>248</v>
      </c>
      <c r="F166" s="49"/>
      <c r="G166" s="49" t="s">
        <v>35</v>
      </c>
      <c r="H166" s="50">
        <v>3500</v>
      </c>
      <c r="I166" s="55">
        <v>700</v>
      </c>
      <c r="J166" s="49" t="s">
        <v>36</v>
      </c>
      <c r="K166" s="49" t="s">
        <v>37</v>
      </c>
      <c r="L166" s="1"/>
      <c r="M166" s="1"/>
      <c r="N166" s="1"/>
      <c r="O166" s="1"/>
      <c r="P166" s="1"/>
    </row>
    <row r="167" spans="1:16" ht="15.75" customHeight="1">
      <c r="A167" s="49">
        <v>18</v>
      </c>
      <c r="B167" s="49" t="s">
        <v>2472</v>
      </c>
      <c r="C167" s="49" t="s">
        <v>227</v>
      </c>
      <c r="D167" s="49" t="s">
        <v>260</v>
      </c>
      <c r="E167" s="49" t="s">
        <v>51</v>
      </c>
      <c r="F167" s="49"/>
      <c r="G167" s="49" t="s">
        <v>120</v>
      </c>
      <c r="H167" s="50">
        <v>24</v>
      </c>
      <c r="I167" s="55">
        <v>240</v>
      </c>
      <c r="J167" s="49" t="s">
        <v>36</v>
      </c>
      <c r="K167" s="49" t="s">
        <v>37</v>
      </c>
      <c r="L167" s="1"/>
      <c r="M167" s="1"/>
      <c r="N167" s="1"/>
      <c r="O167" s="1"/>
      <c r="P167" s="1"/>
    </row>
    <row r="168" spans="1:16" ht="15.75" customHeight="1">
      <c r="A168" s="49">
        <v>18</v>
      </c>
      <c r="B168" s="49" t="s">
        <v>2473</v>
      </c>
      <c r="C168" s="49" t="s">
        <v>227</v>
      </c>
      <c r="D168" s="49" t="s">
        <v>2474</v>
      </c>
      <c r="E168" s="49" t="s">
        <v>152</v>
      </c>
      <c r="F168" s="49"/>
      <c r="G168" s="49" t="s">
        <v>35</v>
      </c>
      <c r="H168" s="50">
        <v>1000</v>
      </c>
      <c r="I168" s="55">
        <v>200</v>
      </c>
      <c r="J168" s="49" t="s">
        <v>36</v>
      </c>
      <c r="K168" s="49" t="s">
        <v>37</v>
      </c>
      <c r="L168" s="1"/>
      <c r="M168" s="1"/>
      <c r="N168" s="1"/>
      <c r="O168" s="1"/>
      <c r="P168" s="1"/>
    </row>
    <row r="169" spans="1:16" ht="15.75" customHeight="1">
      <c r="A169" s="49">
        <v>18</v>
      </c>
      <c r="B169" s="49" t="s">
        <v>2475</v>
      </c>
      <c r="C169" s="49" t="s">
        <v>227</v>
      </c>
      <c r="D169" s="49" t="s">
        <v>1237</v>
      </c>
      <c r="E169" s="49" t="s">
        <v>48</v>
      </c>
      <c r="F169" s="49"/>
      <c r="G169" s="49" t="s">
        <v>35</v>
      </c>
      <c r="H169" s="50">
        <v>1000</v>
      </c>
      <c r="I169" s="55">
        <v>200</v>
      </c>
      <c r="J169" s="49" t="s">
        <v>36</v>
      </c>
      <c r="K169" s="49" t="s">
        <v>37</v>
      </c>
      <c r="L169" s="1"/>
      <c r="M169" s="1"/>
      <c r="N169" s="1"/>
      <c r="O169" s="1"/>
      <c r="P169" s="1"/>
    </row>
    <row r="170" spans="1:16" ht="15.75" customHeight="1">
      <c r="A170" s="49">
        <v>18</v>
      </c>
      <c r="B170" s="49" t="s">
        <v>2176</v>
      </c>
      <c r="C170" s="49" t="s">
        <v>227</v>
      </c>
      <c r="D170" s="49" t="s">
        <v>728</v>
      </c>
      <c r="E170" s="49" t="s">
        <v>164</v>
      </c>
      <c r="F170" s="49"/>
      <c r="G170" s="49" t="s">
        <v>35</v>
      </c>
      <c r="H170" s="50">
        <v>3000</v>
      </c>
      <c r="I170" s="55">
        <v>600</v>
      </c>
      <c r="J170" s="49" t="s">
        <v>36</v>
      </c>
      <c r="K170" s="49" t="s">
        <v>37</v>
      </c>
      <c r="L170" s="1"/>
      <c r="M170" s="1"/>
      <c r="N170" s="1"/>
      <c r="O170" s="1"/>
      <c r="P170" s="1"/>
    </row>
    <row r="171" spans="1:16" ht="15.75" customHeight="1">
      <c r="A171" s="49">
        <v>18</v>
      </c>
      <c r="B171" s="49" t="s">
        <v>2476</v>
      </c>
      <c r="C171" s="49" t="s">
        <v>227</v>
      </c>
      <c r="D171" s="49" t="s">
        <v>682</v>
      </c>
      <c r="E171" s="49" t="s">
        <v>386</v>
      </c>
      <c r="F171" s="49"/>
      <c r="G171" s="49" t="s">
        <v>35</v>
      </c>
      <c r="H171" s="50">
        <v>6200</v>
      </c>
      <c r="I171" s="55">
        <v>1240</v>
      </c>
      <c r="J171" s="49" t="s">
        <v>36</v>
      </c>
      <c r="K171" s="49" t="s">
        <v>37</v>
      </c>
      <c r="L171" s="1"/>
      <c r="M171" s="1"/>
      <c r="N171" s="1"/>
      <c r="O171" s="1"/>
      <c r="P171" s="1"/>
    </row>
    <row r="172" spans="1:16" ht="15.75" customHeight="1">
      <c r="A172" s="49">
        <v>18</v>
      </c>
      <c r="B172" s="49" t="s">
        <v>2477</v>
      </c>
      <c r="C172" s="49" t="s">
        <v>227</v>
      </c>
      <c r="D172" s="49" t="s">
        <v>40</v>
      </c>
      <c r="E172" s="49" t="s">
        <v>41</v>
      </c>
      <c r="F172" s="49"/>
      <c r="G172" s="49" t="s">
        <v>35</v>
      </c>
      <c r="H172" s="50">
        <v>4000</v>
      </c>
      <c r="I172" s="55">
        <v>800</v>
      </c>
      <c r="J172" s="49" t="s">
        <v>36</v>
      </c>
      <c r="K172" s="49" t="s">
        <v>37</v>
      </c>
      <c r="L172" s="1"/>
      <c r="M172" s="1"/>
      <c r="N172" s="1"/>
      <c r="O172" s="1"/>
      <c r="P172" s="1"/>
    </row>
    <row r="173" spans="1:16" ht="15.75" customHeight="1">
      <c r="A173" s="49">
        <v>18</v>
      </c>
      <c r="B173" s="49" t="s">
        <v>2478</v>
      </c>
      <c r="C173" s="49" t="s">
        <v>227</v>
      </c>
      <c r="D173" s="49" t="s">
        <v>1030</v>
      </c>
      <c r="E173" s="49" t="s">
        <v>307</v>
      </c>
      <c r="F173" s="49"/>
      <c r="G173" s="49" t="s">
        <v>35</v>
      </c>
      <c r="H173" s="50">
        <v>1500</v>
      </c>
      <c r="I173" s="55">
        <v>300</v>
      </c>
      <c r="J173" s="49" t="s">
        <v>36</v>
      </c>
      <c r="K173" s="49" t="s">
        <v>37</v>
      </c>
      <c r="L173" s="1"/>
      <c r="M173" s="1"/>
      <c r="N173" s="1"/>
      <c r="O173" s="1"/>
      <c r="P173" s="1"/>
    </row>
    <row r="174" spans="1:16" ht="15.75" customHeight="1">
      <c r="A174" s="49">
        <v>18</v>
      </c>
      <c r="B174" s="49" t="s">
        <v>2479</v>
      </c>
      <c r="C174" s="49" t="s">
        <v>227</v>
      </c>
      <c r="D174" s="49" t="s">
        <v>1666</v>
      </c>
      <c r="E174" s="49" t="s">
        <v>1667</v>
      </c>
      <c r="F174" s="49"/>
      <c r="G174" s="49" t="s">
        <v>35</v>
      </c>
      <c r="H174" s="50">
        <v>3200</v>
      </c>
      <c r="I174" s="55">
        <v>640</v>
      </c>
      <c r="J174" s="49" t="s">
        <v>36</v>
      </c>
      <c r="K174" s="49" t="s">
        <v>37</v>
      </c>
      <c r="L174" s="1"/>
      <c r="M174" s="1"/>
      <c r="N174" s="1"/>
      <c r="O174" s="1"/>
      <c r="P174" s="1"/>
    </row>
    <row r="175" spans="1:16" ht="15.75" customHeight="1">
      <c r="A175" s="49">
        <v>18</v>
      </c>
      <c r="B175" s="49" t="s">
        <v>1106</v>
      </c>
      <c r="C175" s="49" t="s">
        <v>227</v>
      </c>
      <c r="D175" s="49" t="s">
        <v>1030</v>
      </c>
      <c r="E175" s="49" t="s">
        <v>307</v>
      </c>
      <c r="F175" s="49"/>
      <c r="G175" s="49" t="s">
        <v>35</v>
      </c>
      <c r="H175" s="50">
        <v>600</v>
      </c>
      <c r="I175" s="55">
        <v>120</v>
      </c>
      <c r="J175" s="49" t="s">
        <v>36</v>
      </c>
      <c r="K175" s="49" t="s">
        <v>37</v>
      </c>
      <c r="L175" s="1"/>
      <c r="M175" s="1"/>
      <c r="N175" s="1"/>
      <c r="O175" s="1"/>
      <c r="P175" s="1"/>
    </row>
    <row r="176" spans="1:16" ht="15.75" customHeight="1">
      <c r="A176" s="49">
        <v>18</v>
      </c>
      <c r="B176" s="49" t="s">
        <v>1106</v>
      </c>
      <c r="C176" s="49" t="s">
        <v>227</v>
      </c>
      <c r="D176" s="49" t="s">
        <v>1030</v>
      </c>
      <c r="E176" s="49" t="s">
        <v>307</v>
      </c>
      <c r="F176" s="49"/>
      <c r="G176" s="49" t="s">
        <v>120</v>
      </c>
      <c r="H176" s="50">
        <v>10</v>
      </c>
      <c r="I176" s="55">
        <v>100</v>
      </c>
      <c r="J176" s="49" t="s">
        <v>36</v>
      </c>
      <c r="K176" s="49" t="s">
        <v>37</v>
      </c>
      <c r="L176" s="1"/>
      <c r="M176" s="1"/>
      <c r="N176" s="1"/>
      <c r="O176" s="1"/>
      <c r="P176" s="1"/>
    </row>
    <row r="177" spans="1:26" ht="15.75" customHeight="1">
      <c r="A177" s="101">
        <v>18</v>
      </c>
      <c r="B177" s="101" t="s">
        <v>2480</v>
      </c>
      <c r="C177" s="101" t="s">
        <v>227</v>
      </c>
      <c r="D177" s="101" t="s">
        <v>2481</v>
      </c>
      <c r="E177" s="101" t="s">
        <v>51</v>
      </c>
      <c r="F177" s="101"/>
      <c r="G177" s="101" t="s">
        <v>35</v>
      </c>
      <c r="H177" s="114">
        <v>3000</v>
      </c>
      <c r="I177" s="102">
        <v>600</v>
      </c>
      <c r="J177" s="49" t="s">
        <v>36</v>
      </c>
      <c r="K177" s="49" t="s">
        <v>37</v>
      </c>
      <c r="L177" s="1"/>
      <c r="M177" s="1"/>
      <c r="N177" s="1"/>
      <c r="O177" s="1"/>
      <c r="P177" s="1"/>
    </row>
    <row r="178" spans="1:26" ht="15.75" customHeight="1">
      <c r="A178" s="101">
        <v>18</v>
      </c>
      <c r="B178" s="101" t="s">
        <v>2480</v>
      </c>
      <c r="C178" s="101" t="s">
        <v>227</v>
      </c>
      <c r="D178" s="101" t="s">
        <v>2481</v>
      </c>
      <c r="E178" s="101" t="s">
        <v>51</v>
      </c>
      <c r="F178" s="17"/>
      <c r="G178" s="17" t="s">
        <v>120</v>
      </c>
      <c r="H178" s="116">
        <v>5</v>
      </c>
      <c r="I178" s="105">
        <v>50</v>
      </c>
      <c r="J178" s="49" t="s">
        <v>36</v>
      </c>
      <c r="K178" s="49" t="s">
        <v>37</v>
      </c>
      <c r="L178" s="1"/>
      <c r="M178" s="1"/>
      <c r="N178" s="1"/>
      <c r="O178" s="1"/>
      <c r="P178" s="1"/>
    </row>
    <row r="179" spans="1:26" ht="15.75" customHeight="1">
      <c r="A179" s="49">
        <v>19</v>
      </c>
      <c r="B179" s="49" t="s">
        <v>2482</v>
      </c>
      <c r="C179" s="49" t="s">
        <v>227</v>
      </c>
      <c r="D179" s="49" t="s">
        <v>2256</v>
      </c>
      <c r="E179" s="49" t="s">
        <v>80</v>
      </c>
      <c r="F179" s="49"/>
      <c r="G179" s="49" t="s">
        <v>35</v>
      </c>
      <c r="H179" s="50">
        <v>10000</v>
      </c>
      <c r="I179" s="55">
        <v>2000</v>
      </c>
      <c r="J179" s="49" t="s">
        <v>36</v>
      </c>
      <c r="K179" s="49" t="s">
        <v>37</v>
      </c>
      <c r="L179" s="1"/>
      <c r="M179" s="1"/>
      <c r="N179" s="1"/>
      <c r="O179" s="1"/>
      <c r="P179" s="1"/>
    </row>
    <row r="180" spans="1:26" ht="15.75" customHeight="1">
      <c r="A180" s="49">
        <v>19</v>
      </c>
      <c r="B180" s="49" t="s">
        <v>2483</v>
      </c>
      <c r="C180" s="49" t="s">
        <v>227</v>
      </c>
      <c r="D180" s="49" t="s">
        <v>679</v>
      </c>
      <c r="E180" s="49" t="s">
        <v>232</v>
      </c>
      <c r="F180" s="49"/>
      <c r="G180" s="49" t="s">
        <v>35</v>
      </c>
      <c r="H180" s="50">
        <v>1500</v>
      </c>
      <c r="I180" s="55">
        <v>300</v>
      </c>
      <c r="J180" s="49" t="s">
        <v>36</v>
      </c>
      <c r="K180" s="49" t="s">
        <v>37</v>
      </c>
      <c r="L180" s="1"/>
      <c r="M180" s="1"/>
      <c r="N180" s="1"/>
      <c r="O180" s="1"/>
      <c r="P180" s="1"/>
    </row>
    <row r="181" spans="1:26" ht="15.75" customHeight="1">
      <c r="A181" s="49">
        <v>19</v>
      </c>
      <c r="B181" s="49" t="s">
        <v>2484</v>
      </c>
      <c r="C181" s="49" t="s">
        <v>246</v>
      </c>
      <c r="D181" s="49" t="s">
        <v>2485</v>
      </c>
      <c r="E181" s="49" t="s">
        <v>323</v>
      </c>
      <c r="F181" s="49"/>
      <c r="G181" s="49" t="s">
        <v>35</v>
      </c>
      <c r="H181" s="50">
        <v>1000</v>
      </c>
      <c r="I181" s="55">
        <v>200</v>
      </c>
      <c r="J181" s="49" t="s">
        <v>36</v>
      </c>
      <c r="K181" s="49" t="s">
        <v>37</v>
      </c>
      <c r="L181" s="1"/>
      <c r="M181" s="1"/>
      <c r="N181" s="1"/>
      <c r="O181" s="1"/>
      <c r="P181" s="1"/>
    </row>
    <row r="182" spans="1:26" ht="15.75" customHeight="1">
      <c r="A182" s="49">
        <v>19</v>
      </c>
      <c r="B182" s="49" t="s">
        <v>2486</v>
      </c>
      <c r="C182" s="49" t="s">
        <v>227</v>
      </c>
      <c r="D182" s="49" t="s">
        <v>382</v>
      </c>
      <c r="E182" s="49" t="s">
        <v>48</v>
      </c>
      <c r="F182" s="49"/>
      <c r="G182" s="49" t="s">
        <v>35</v>
      </c>
      <c r="H182" s="50">
        <v>2500</v>
      </c>
      <c r="I182" s="55">
        <v>500</v>
      </c>
      <c r="J182" s="49" t="s">
        <v>36</v>
      </c>
      <c r="K182" s="49" t="s">
        <v>37</v>
      </c>
      <c r="L182" s="1"/>
      <c r="M182" s="1"/>
      <c r="N182" s="1"/>
      <c r="O182" s="1"/>
      <c r="P182" s="1"/>
    </row>
    <row r="183" spans="1:26" ht="15.75" customHeight="1">
      <c r="A183" s="49">
        <v>19</v>
      </c>
      <c r="B183" s="49" t="s">
        <v>2279</v>
      </c>
      <c r="C183" s="49" t="s">
        <v>227</v>
      </c>
      <c r="D183" s="49" t="s">
        <v>247</v>
      </c>
      <c r="E183" s="49" t="s">
        <v>307</v>
      </c>
      <c r="F183" s="49"/>
      <c r="G183" s="49" t="s">
        <v>35</v>
      </c>
      <c r="H183" s="50">
        <v>100</v>
      </c>
      <c r="I183" s="55">
        <v>20</v>
      </c>
      <c r="J183" s="49" t="s">
        <v>36</v>
      </c>
      <c r="K183" s="49" t="s">
        <v>37</v>
      </c>
      <c r="L183" s="1"/>
      <c r="M183" s="1"/>
      <c r="N183" s="1"/>
      <c r="O183" s="1"/>
      <c r="P183" s="1"/>
    </row>
    <row r="184" spans="1:26" ht="15.75" customHeight="1">
      <c r="A184" s="49">
        <v>19</v>
      </c>
      <c r="B184" s="49" t="s">
        <v>2487</v>
      </c>
      <c r="C184" s="49" t="s">
        <v>246</v>
      </c>
      <c r="D184" s="49"/>
      <c r="E184" s="49" t="s">
        <v>51</v>
      </c>
      <c r="F184" s="49"/>
      <c r="G184" s="49" t="s">
        <v>120</v>
      </c>
      <c r="H184" s="50">
        <v>5</v>
      </c>
      <c r="I184" s="55">
        <v>50</v>
      </c>
      <c r="J184" s="49" t="s">
        <v>36</v>
      </c>
      <c r="K184" s="49" t="s">
        <v>37</v>
      </c>
      <c r="L184" s="1"/>
      <c r="M184" s="1"/>
      <c r="N184" s="1"/>
      <c r="O184" s="1"/>
      <c r="P184" s="1"/>
    </row>
    <row r="185" spans="1:26" ht="15.75" customHeight="1">
      <c r="A185" s="49">
        <v>19</v>
      </c>
      <c r="B185" s="49" t="s">
        <v>2487</v>
      </c>
      <c r="C185" s="49" t="s">
        <v>246</v>
      </c>
      <c r="D185" s="49"/>
      <c r="E185" s="49" t="s">
        <v>51</v>
      </c>
      <c r="F185" s="101"/>
      <c r="G185" s="101" t="s">
        <v>242</v>
      </c>
      <c r="H185" s="114">
        <v>40</v>
      </c>
      <c r="I185" s="102">
        <v>120</v>
      </c>
      <c r="J185" s="49" t="s">
        <v>36</v>
      </c>
      <c r="K185" s="49" t="s">
        <v>37</v>
      </c>
      <c r="L185" s="1"/>
      <c r="M185" s="1"/>
      <c r="N185" s="1"/>
      <c r="O185" s="1"/>
      <c r="P185" s="1"/>
    </row>
    <row r="186" spans="1:26" ht="15.75" customHeight="1">
      <c r="A186" s="17">
        <v>20</v>
      </c>
      <c r="B186" s="17" t="s">
        <v>2488</v>
      </c>
      <c r="C186" s="17" t="s">
        <v>227</v>
      </c>
      <c r="D186" s="17" t="s">
        <v>1237</v>
      </c>
      <c r="E186" s="17" t="s">
        <v>48</v>
      </c>
      <c r="F186" s="17"/>
      <c r="G186" s="17" t="s">
        <v>242</v>
      </c>
      <c r="H186" s="116">
        <v>100</v>
      </c>
      <c r="I186" s="105">
        <v>300</v>
      </c>
      <c r="J186" s="49" t="s">
        <v>36</v>
      </c>
      <c r="K186" s="49" t="s">
        <v>37</v>
      </c>
      <c r="L186" s="1"/>
      <c r="M186" s="1"/>
      <c r="N186" s="1"/>
      <c r="O186" s="1"/>
      <c r="P186" s="1"/>
    </row>
    <row r="187" spans="1:26" ht="15.75" customHeight="1">
      <c r="A187" s="17">
        <v>20</v>
      </c>
      <c r="B187" s="49" t="s">
        <v>2489</v>
      </c>
      <c r="C187" s="49" t="s">
        <v>227</v>
      </c>
      <c r="D187" s="49" t="s">
        <v>258</v>
      </c>
      <c r="E187" s="49" t="s">
        <v>251</v>
      </c>
      <c r="F187" s="49"/>
      <c r="G187" s="49" t="s">
        <v>35</v>
      </c>
      <c r="H187" s="50">
        <v>1000</v>
      </c>
      <c r="I187" s="55">
        <v>200</v>
      </c>
      <c r="J187" s="49" t="s">
        <v>36</v>
      </c>
      <c r="K187" s="49" t="s">
        <v>37</v>
      </c>
      <c r="L187" s="1"/>
      <c r="M187" s="1"/>
      <c r="N187" s="1"/>
      <c r="O187" s="1"/>
      <c r="P187" s="1"/>
    </row>
    <row r="188" spans="1:26" ht="15.75" customHeight="1">
      <c r="A188" s="17">
        <v>20</v>
      </c>
      <c r="B188" s="49" t="s">
        <v>2490</v>
      </c>
      <c r="C188" s="49" t="s">
        <v>227</v>
      </c>
      <c r="D188" s="49" t="s">
        <v>772</v>
      </c>
      <c r="E188" s="49" t="s">
        <v>232</v>
      </c>
      <c r="F188" s="49"/>
      <c r="G188" s="49" t="s">
        <v>35</v>
      </c>
      <c r="H188" s="50">
        <v>2000</v>
      </c>
      <c r="I188" s="55">
        <v>400</v>
      </c>
      <c r="J188" s="49" t="s">
        <v>36</v>
      </c>
      <c r="K188" s="49" t="s">
        <v>37</v>
      </c>
      <c r="L188" s="1"/>
      <c r="M188" s="1"/>
      <c r="N188" s="1"/>
      <c r="O188" s="1"/>
      <c r="P188" s="1"/>
    </row>
    <row r="189" spans="1:26" ht="15.75" customHeight="1">
      <c r="A189" s="17">
        <v>20</v>
      </c>
      <c r="B189" s="49" t="s">
        <v>2491</v>
      </c>
      <c r="C189" s="49" t="s">
        <v>227</v>
      </c>
      <c r="D189" s="49" t="s">
        <v>2492</v>
      </c>
      <c r="E189" s="49" t="s">
        <v>467</v>
      </c>
      <c r="F189" s="49"/>
      <c r="G189" s="49" t="s">
        <v>35</v>
      </c>
      <c r="H189" s="50">
        <v>500</v>
      </c>
      <c r="I189" s="55">
        <v>100</v>
      </c>
      <c r="J189" s="49" t="s">
        <v>36</v>
      </c>
      <c r="K189" s="49" t="s">
        <v>37</v>
      </c>
      <c r="L189" s="1"/>
      <c r="M189" s="1"/>
      <c r="N189" s="1"/>
      <c r="O189" s="1"/>
      <c r="P189" s="1"/>
    </row>
    <row r="190" spans="1:26" ht="15.75" customHeight="1">
      <c r="A190" s="101">
        <v>20</v>
      </c>
      <c r="B190" s="101" t="s">
        <v>2493</v>
      </c>
      <c r="C190" s="101" t="s">
        <v>227</v>
      </c>
      <c r="D190" s="101" t="s">
        <v>2494</v>
      </c>
      <c r="E190" s="101" t="s">
        <v>467</v>
      </c>
      <c r="F190" s="101"/>
      <c r="G190" s="101" t="s">
        <v>120</v>
      </c>
      <c r="H190" s="114">
        <v>40</v>
      </c>
      <c r="I190" s="102">
        <v>400</v>
      </c>
      <c r="J190" s="49" t="s">
        <v>36</v>
      </c>
      <c r="K190" s="49" t="s">
        <v>37</v>
      </c>
      <c r="L190" s="1"/>
      <c r="M190" s="1"/>
      <c r="N190" s="1"/>
      <c r="O190" s="1"/>
      <c r="P190" s="1"/>
    </row>
    <row r="191" spans="1:26" ht="15.75" customHeight="1">
      <c r="A191" s="17">
        <v>22</v>
      </c>
      <c r="B191" s="17" t="s">
        <v>2495</v>
      </c>
      <c r="C191" s="17" t="s">
        <v>227</v>
      </c>
      <c r="D191" s="17" t="s">
        <v>517</v>
      </c>
      <c r="E191" s="17" t="s">
        <v>232</v>
      </c>
      <c r="F191" s="17"/>
      <c r="G191" s="17" t="s">
        <v>35</v>
      </c>
      <c r="H191" s="116">
        <v>500</v>
      </c>
      <c r="I191" s="105"/>
      <c r="J191" s="17" t="s">
        <v>43</v>
      </c>
      <c r="K191" s="49" t="s">
        <v>37</v>
      </c>
      <c r="L191" s="4"/>
      <c r="M191" s="1">
        <v>1300</v>
      </c>
      <c r="N191" s="1"/>
      <c r="O191" s="1"/>
      <c r="P191" s="1"/>
    </row>
    <row r="192" spans="1:26" ht="15.75" customHeight="1">
      <c r="A192" s="17"/>
      <c r="B192" s="17" t="s">
        <v>2495</v>
      </c>
      <c r="C192" s="17" t="s">
        <v>227</v>
      </c>
      <c r="D192" s="17" t="s">
        <v>517</v>
      </c>
      <c r="E192" s="17" t="s">
        <v>232</v>
      </c>
      <c r="F192" s="17"/>
      <c r="G192" s="17" t="s">
        <v>35</v>
      </c>
      <c r="H192" s="116">
        <v>1500</v>
      </c>
      <c r="I192" s="105">
        <v>300</v>
      </c>
      <c r="J192" s="17" t="s">
        <v>36</v>
      </c>
      <c r="K192" s="49" t="s">
        <v>37</v>
      </c>
      <c r="L192" s="4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7"/>
      <c r="B193" s="17" t="s">
        <v>2496</v>
      </c>
      <c r="C193" s="17" t="s">
        <v>227</v>
      </c>
      <c r="D193" s="17" t="s">
        <v>2497</v>
      </c>
      <c r="E193" s="17" t="s">
        <v>2157</v>
      </c>
      <c r="F193" s="17"/>
      <c r="G193" s="17" t="s">
        <v>35</v>
      </c>
      <c r="H193" s="116">
        <v>5000</v>
      </c>
      <c r="I193" s="105">
        <v>1000</v>
      </c>
      <c r="J193" s="17" t="s">
        <v>36</v>
      </c>
      <c r="K193" s="49" t="s">
        <v>37</v>
      </c>
      <c r="L193" s="4"/>
      <c r="M193" s="1">
        <v>1200</v>
      </c>
      <c r="N193" s="141">
        <f>H192+H193+H194+H196+H197+H198+H199+H200+H201+H203+H204+H205+H206+H207+H208+H209+H210+H212+H216+H217+H218+H220+H221+H223+H224+H225+H226+H227+H228+H229+H230+H231+H232+H235+H236+H237+H238+H239+H242+H243+H245+H246+H248+H251+H253+H255+H256+H257+H258+H260+H262+H263+H265+H266+H267+H268+H269+H270+H271+H272+H273+H276+H277</f>
        <v>152700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7"/>
      <c r="B194" s="17" t="s">
        <v>2498</v>
      </c>
      <c r="C194" s="17" t="s">
        <v>227</v>
      </c>
      <c r="D194" s="17" t="s">
        <v>297</v>
      </c>
      <c r="E194" s="17" t="s">
        <v>51</v>
      </c>
      <c r="F194" s="17"/>
      <c r="G194" s="17" t="s">
        <v>35</v>
      </c>
      <c r="H194" s="116">
        <v>500</v>
      </c>
      <c r="I194" s="105">
        <v>100</v>
      </c>
      <c r="J194" s="17" t="s">
        <v>36</v>
      </c>
      <c r="K194" s="49" t="s">
        <v>37</v>
      </c>
      <c r="L194" s="1"/>
      <c r="M194" s="1">
        <v>100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7"/>
      <c r="B195" s="17" t="s">
        <v>457</v>
      </c>
      <c r="C195" s="17" t="s">
        <v>227</v>
      </c>
      <c r="D195" s="17" t="s">
        <v>709</v>
      </c>
      <c r="E195" s="17" t="s">
        <v>251</v>
      </c>
      <c r="F195" s="17"/>
      <c r="G195" s="17" t="s">
        <v>35</v>
      </c>
      <c r="H195" s="116">
        <v>500</v>
      </c>
      <c r="I195" s="105"/>
      <c r="J195" s="17" t="s">
        <v>43</v>
      </c>
      <c r="K195" s="49" t="s">
        <v>37</v>
      </c>
      <c r="L195" s="1"/>
      <c r="M195" s="1">
        <v>100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7"/>
      <c r="B196" s="17" t="s">
        <v>457</v>
      </c>
      <c r="C196" s="17" t="s">
        <v>227</v>
      </c>
      <c r="D196" s="17" t="s">
        <v>709</v>
      </c>
      <c r="E196" s="17" t="s">
        <v>251</v>
      </c>
      <c r="F196" s="17"/>
      <c r="G196" s="17" t="s">
        <v>35</v>
      </c>
      <c r="H196" s="116">
        <v>500</v>
      </c>
      <c r="I196" s="105">
        <v>100</v>
      </c>
      <c r="J196" s="17" t="s">
        <v>36</v>
      </c>
      <c r="K196" s="49" t="s">
        <v>37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7"/>
      <c r="B197" s="17" t="s">
        <v>2499</v>
      </c>
      <c r="C197" s="17" t="s">
        <v>227</v>
      </c>
      <c r="D197" s="17" t="s">
        <v>679</v>
      </c>
      <c r="E197" s="17" t="s">
        <v>232</v>
      </c>
      <c r="F197" s="17"/>
      <c r="G197" s="17" t="s">
        <v>35</v>
      </c>
      <c r="H197" s="116">
        <v>3000</v>
      </c>
      <c r="I197" s="105">
        <v>600</v>
      </c>
      <c r="J197" s="17" t="s">
        <v>36</v>
      </c>
      <c r="K197" s="49" t="s">
        <v>37</v>
      </c>
      <c r="L197" s="4"/>
      <c r="M197" s="1">
        <v>500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7"/>
      <c r="B198" s="17" t="s">
        <v>2500</v>
      </c>
      <c r="C198" s="17" t="s">
        <v>227</v>
      </c>
      <c r="D198" s="17" t="s">
        <v>926</v>
      </c>
      <c r="E198" s="17" t="s">
        <v>251</v>
      </c>
      <c r="F198" s="17"/>
      <c r="G198" s="17" t="s">
        <v>35</v>
      </c>
      <c r="H198" s="116">
        <v>500</v>
      </c>
      <c r="I198" s="105">
        <v>100</v>
      </c>
      <c r="J198" s="17" t="s">
        <v>36</v>
      </c>
      <c r="K198" s="49" t="s">
        <v>37</v>
      </c>
      <c r="L198" s="1"/>
      <c r="M198" s="1">
        <v>20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7"/>
      <c r="B199" s="17" t="s">
        <v>2501</v>
      </c>
      <c r="C199" s="17" t="s">
        <v>227</v>
      </c>
      <c r="D199" s="17" t="s">
        <v>315</v>
      </c>
      <c r="E199" s="17" t="s">
        <v>48</v>
      </c>
      <c r="F199" s="17"/>
      <c r="G199" s="17" t="s">
        <v>35</v>
      </c>
      <c r="H199" s="116">
        <v>500</v>
      </c>
      <c r="I199" s="105">
        <v>100</v>
      </c>
      <c r="J199" s="17" t="s">
        <v>36</v>
      </c>
      <c r="K199" s="49" t="s">
        <v>37</v>
      </c>
      <c r="L199" s="1"/>
      <c r="M199" s="1">
        <v>20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7"/>
      <c r="B200" s="17" t="s">
        <v>2502</v>
      </c>
      <c r="C200" s="17" t="s">
        <v>227</v>
      </c>
      <c r="D200" s="17" t="s">
        <v>234</v>
      </c>
      <c r="E200" s="17" t="s">
        <v>235</v>
      </c>
      <c r="F200" s="17"/>
      <c r="G200" s="17" t="s">
        <v>35</v>
      </c>
      <c r="H200" s="116">
        <v>1000</v>
      </c>
      <c r="I200" s="105">
        <v>200</v>
      </c>
      <c r="J200" s="17" t="s">
        <v>36</v>
      </c>
      <c r="K200" s="49" t="s">
        <v>37</v>
      </c>
      <c r="L200" s="1"/>
      <c r="M200" s="1">
        <v>200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7"/>
      <c r="B201" s="17" t="s">
        <v>2503</v>
      </c>
      <c r="C201" s="17" t="s">
        <v>246</v>
      </c>
      <c r="D201" s="17" t="s">
        <v>446</v>
      </c>
      <c r="E201" s="17" t="s">
        <v>164</v>
      </c>
      <c r="F201" s="17"/>
      <c r="G201" s="17" t="s">
        <v>35</v>
      </c>
      <c r="H201" s="116">
        <v>1000</v>
      </c>
      <c r="I201" s="105">
        <v>200</v>
      </c>
      <c r="J201" s="17" t="s">
        <v>36</v>
      </c>
      <c r="K201" s="49" t="s">
        <v>37</v>
      </c>
      <c r="L201" s="1"/>
      <c r="M201" s="1">
        <v>200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7"/>
      <c r="B202" s="17" t="s">
        <v>2504</v>
      </c>
      <c r="C202" s="17" t="s">
        <v>227</v>
      </c>
      <c r="D202" s="17" t="s">
        <v>2505</v>
      </c>
      <c r="E202" s="17" t="s">
        <v>235</v>
      </c>
      <c r="F202" s="17"/>
      <c r="G202" s="17" t="s">
        <v>35</v>
      </c>
      <c r="H202" s="116">
        <v>500</v>
      </c>
      <c r="I202" s="105"/>
      <c r="J202" s="17" t="s">
        <v>43</v>
      </c>
      <c r="K202" s="49" t="s">
        <v>37</v>
      </c>
      <c r="L202" s="1"/>
      <c r="M202" s="1">
        <v>100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7"/>
      <c r="B203" s="17" t="s">
        <v>2504</v>
      </c>
      <c r="C203" s="17" t="s">
        <v>227</v>
      </c>
      <c r="D203" s="17" t="s">
        <v>2505</v>
      </c>
      <c r="E203" s="17" t="s">
        <v>235</v>
      </c>
      <c r="F203" s="17"/>
      <c r="G203" s="17" t="s">
        <v>35</v>
      </c>
      <c r="H203" s="116">
        <v>200</v>
      </c>
      <c r="I203" s="105">
        <v>40</v>
      </c>
      <c r="J203" s="17" t="s">
        <v>36</v>
      </c>
      <c r="K203" s="49" t="s">
        <v>37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7"/>
      <c r="B204" s="17" t="s">
        <v>367</v>
      </c>
      <c r="C204" s="17" t="s">
        <v>227</v>
      </c>
      <c r="D204" s="17" t="s">
        <v>231</v>
      </c>
      <c r="E204" s="17" t="s">
        <v>232</v>
      </c>
      <c r="F204" s="17"/>
      <c r="G204" s="17" t="s">
        <v>35</v>
      </c>
      <c r="H204" s="116">
        <v>3500</v>
      </c>
      <c r="I204" s="105">
        <v>700</v>
      </c>
      <c r="J204" s="17" t="s">
        <v>36</v>
      </c>
      <c r="K204" s="49" t="s">
        <v>37</v>
      </c>
      <c r="L204" s="1"/>
      <c r="M204" s="1">
        <v>500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7"/>
      <c r="B205" s="17" t="s">
        <v>2506</v>
      </c>
      <c r="C205" s="17" t="s">
        <v>227</v>
      </c>
      <c r="D205" s="17" t="s">
        <v>2507</v>
      </c>
      <c r="E205" s="17" t="s">
        <v>152</v>
      </c>
      <c r="F205" s="17"/>
      <c r="G205" s="17" t="s">
        <v>35</v>
      </c>
      <c r="H205" s="116">
        <v>600</v>
      </c>
      <c r="I205" s="105">
        <v>120</v>
      </c>
      <c r="J205" s="17" t="s">
        <v>36</v>
      </c>
      <c r="K205" s="49" t="s">
        <v>37</v>
      </c>
      <c r="L205" s="1"/>
      <c r="M205" s="1">
        <v>150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7"/>
      <c r="B206" s="17" t="s">
        <v>2508</v>
      </c>
      <c r="C206" s="17" t="s">
        <v>246</v>
      </c>
      <c r="D206" s="17" t="s">
        <v>297</v>
      </c>
      <c r="E206" s="17" t="s">
        <v>51</v>
      </c>
      <c r="F206" s="17"/>
      <c r="G206" s="17" t="s">
        <v>35</v>
      </c>
      <c r="H206" s="116">
        <v>2000</v>
      </c>
      <c r="I206" s="105">
        <v>400</v>
      </c>
      <c r="J206" s="17" t="s">
        <v>36</v>
      </c>
      <c r="K206" s="49" t="s">
        <v>37</v>
      </c>
      <c r="L206" s="1"/>
      <c r="M206" s="1">
        <v>600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7"/>
      <c r="B207" s="17" t="s">
        <v>1755</v>
      </c>
      <c r="C207" s="17" t="s">
        <v>227</v>
      </c>
      <c r="D207" s="17" t="s">
        <v>258</v>
      </c>
      <c r="E207" s="17" t="s">
        <v>251</v>
      </c>
      <c r="F207" s="17"/>
      <c r="G207" s="17" t="s">
        <v>35</v>
      </c>
      <c r="H207" s="116">
        <v>500</v>
      </c>
      <c r="I207" s="105">
        <v>100</v>
      </c>
      <c r="J207" s="17" t="s">
        <v>36</v>
      </c>
      <c r="K207" s="49" t="s">
        <v>37</v>
      </c>
      <c r="L207" s="1"/>
      <c r="M207" s="1">
        <v>400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7"/>
      <c r="B208" s="17" t="s">
        <v>2509</v>
      </c>
      <c r="C208" s="17" t="s">
        <v>227</v>
      </c>
      <c r="D208" s="17" t="s">
        <v>239</v>
      </c>
      <c r="E208" s="17" t="s">
        <v>232</v>
      </c>
      <c r="F208" s="17"/>
      <c r="G208" s="17" t="s">
        <v>35</v>
      </c>
      <c r="H208" s="116">
        <v>4500</v>
      </c>
      <c r="I208" s="105">
        <v>900</v>
      </c>
      <c r="J208" s="17" t="s">
        <v>36</v>
      </c>
      <c r="K208" s="49" t="s">
        <v>37</v>
      </c>
      <c r="L208" s="1"/>
      <c r="M208" s="1">
        <v>900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7"/>
      <c r="B209" s="17" t="s">
        <v>2510</v>
      </c>
      <c r="C209" s="17" t="s">
        <v>227</v>
      </c>
      <c r="D209" s="17" t="s">
        <v>358</v>
      </c>
      <c r="E209" s="17" t="s">
        <v>235</v>
      </c>
      <c r="F209" s="17"/>
      <c r="G209" s="17" t="s">
        <v>35</v>
      </c>
      <c r="H209" s="116">
        <v>800</v>
      </c>
      <c r="I209" s="105">
        <v>160</v>
      </c>
      <c r="J209" s="17" t="s">
        <v>36</v>
      </c>
      <c r="K209" s="49" t="s">
        <v>37</v>
      </c>
      <c r="L209" s="1"/>
      <c r="M209" s="1">
        <v>300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7"/>
      <c r="B210" s="17" t="s">
        <v>2511</v>
      </c>
      <c r="C210" s="17" t="s">
        <v>227</v>
      </c>
      <c r="D210" s="17" t="s">
        <v>527</v>
      </c>
      <c r="E210" s="17" t="s">
        <v>251</v>
      </c>
      <c r="F210" s="17"/>
      <c r="G210" s="17" t="s">
        <v>35</v>
      </c>
      <c r="H210" s="116">
        <v>200</v>
      </c>
      <c r="I210" s="105">
        <v>40</v>
      </c>
      <c r="J210" s="17" t="s">
        <v>36</v>
      </c>
      <c r="K210" s="49" t="s">
        <v>37</v>
      </c>
      <c r="L210" s="1"/>
      <c r="M210" s="1">
        <v>50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7"/>
      <c r="B211" s="17" t="s">
        <v>2512</v>
      </c>
      <c r="C211" s="17" t="s">
        <v>227</v>
      </c>
      <c r="D211" s="17" t="s">
        <v>2513</v>
      </c>
      <c r="E211" s="17" t="s">
        <v>41</v>
      </c>
      <c r="F211" s="17"/>
      <c r="G211" s="17" t="s">
        <v>35</v>
      </c>
      <c r="H211" s="116">
        <v>500</v>
      </c>
      <c r="I211" s="105"/>
      <c r="J211" s="17" t="s">
        <v>43</v>
      </c>
      <c r="K211" s="49" t="s">
        <v>37</v>
      </c>
      <c r="L211" s="1"/>
      <c r="M211" s="1">
        <v>100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7"/>
      <c r="B212" s="17" t="s">
        <v>2512</v>
      </c>
      <c r="C212" s="17" t="s">
        <v>227</v>
      </c>
      <c r="D212" s="17" t="s">
        <v>2513</v>
      </c>
      <c r="E212" s="17" t="s">
        <v>41</v>
      </c>
      <c r="F212" s="17"/>
      <c r="G212" s="17" t="s">
        <v>35</v>
      </c>
      <c r="H212" s="116">
        <v>500</v>
      </c>
      <c r="I212" s="105">
        <v>100</v>
      </c>
      <c r="J212" s="17" t="s">
        <v>36</v>
      </c>
      <c r="K212" s="49" t="s">
        <v>37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7"/>
      <c r="B213" s="17" t="s">
        <v>2514</v>
      </c>
      <c r="C213" s="17" t="s">
        <v>227</v>
      </c>
      <c r="D213" s="17" t="s">
        <v>2515</v>
      </c>
      <c r="E213" s="17" t="s">
        <v>1884</v>
      </c>
      <c r="F213" s="17"/>
      <c r="G213" s="17" t="s">
        <v>35</v>
      </c>
      <c r="H213" s="116">
        <v>3000</v>
      </c>
      <c r="I213" s="105"/>
      <c r="J213" s="17" t="s">
        <v>43</v>
      </c>
      <c r="K213" s="49" t="s">
        <v>37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7"/>
      <c r="B214" s="17" t="s">
        <v>2514</v>
      </c>
      <c r="C214" s="17" t="s">
        <v>227</v>
      </c>
      <c r="D214" s="17" t="s">
        <v>2515</v>
      </c>
      <c r="E214" s="17" t="s">
        <v>1884</v>
      </c>
      <c r="F214" s="17"/>
      <c r="G214" s="17" t="s">
        <v>120</v>
      </c>
      <c r="H214" s="116">
        <v>20</v>
      </c>
      <c r="I214" s="105"/>
      <c r="J214" s="17" t="s">
        <v>43</v>
      </c>
      <c r="K214" s="49" t="s">
        <v>37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7"/>
      <c r="B215" s="17" t="s">
        <v>2516</v>
      </c>
      <c r="C215" s="17" t="s">
        <v>227</v>
      </c>
      <c r="D215" s="17" t="s">
        <v>234</v>
      </c>
      <c r="E215" s="17" t="s">
        <v>235</v>
      </c>
      <c r="F215" s="17"/>
      <c r="G215" s="17" t="s">
        <v>35</v>
      </c>
      <c r="H215" s="116">
        <v>500</v>
      </c>
      <c r="I215" s="105"/>
      <c r="J215" s="17" t="s">
        <v>43</v>
      </c>
      <c r="K215" s="49" t="s">
        <v>37</v>
      </c>
      <c r="L215" s="1"/>
      <c r="M215" s="1">
        <v>900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7"/>
      <c r="B216" s="17" t="s">
        <v>2516</v>
      </c>
      <c r="C216" s="17" t="s">
        <v>227</v>
      </c>
      <c r="D216" s="17" t="s">
        <v>234</v>
      </c>
      <c r="E216" s="17" t="s">
        <v>235</v>
      </c>
      <c r="F216" s="17"/>
      <c r="G216" s="17"/>
      <c r="H216" s="116">
        <v>3500</v>
      </c>
      <c r="I216" s="105">
        <v>700</v>
      </c>
      <c r="J216" s="17" t="s">
        <v>36</v>
      </c>
      <c r="K216" s="49" t="s">
        <v>37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7"/>
      <c r="B217" s="17" t="s">
        <v>2517</v>
      </c>
      <c r="C217" s="17" t="s">
        <v>227</v>
      </c>
      <c r="D217" s="17" t="s">
        <v>1215</v>
      </c>
      <c r="E217" s="17" t="s">
        <v>232</v>
      </c>
      <c r="F217" s="17"/>
      <c r="G217" s="17" t="s">
        <v>35</v>
      </c>
      <c r="H217" s="116">
        <v>500</v>
      </c>
      <c r="I217" s="105">
        <v>100</v>
      </c>
      <c r="J217" s="17" t="s">
        <v>36</v>
      </c>
      <c r="K217" s="49" t="s">
        <v>37</v>
      </c>
      <c r="L217" s="1"/>
      <c r="M217" s="1">
        <v>200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7"/>
      <c r="B218" s="17" t="s">
        <v>994</v>
      </c>
      <c r="C218" s="17" t="s">
        <v>227</v>
      </c>
      <c r="D218" s="17" t="s">
        <v>2518</v>
      </c>
      <c r="E218" s="17" t="s">
        <v>235</v>
      </c>
      <c r="F218" s="17"/>
      <c r="G218" s="17" t="s">
        <v>35</v>
      </c>
      <c r="H218" s="116">
        <v>1500</v>
      </c>
      <c r="I218" s="105">
        <v>300</v>
      </c>
      <c r="J218" s="17" t="s">
        <v>36</v>
      </c>
      <c r="K218" s="49" t="s">
        <v>37</v>
      </c>
      <c r="L218" s="1"/>
      <c r="M218" s="1">
        <v>300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7"/>
      <c r="B219" s="17" t="s">
        <v>2519</v>
      </c>
      <c r="C219" s="17" t="s">
        <v>227</v>
      </c>
      <c r="D219" s="17" t="s">
        <v>365</v>
      </c>
      <c r="E219" s="17" t="s">
        <v>232</v>
      </c>
      <c r="F219" s="17"/>
      <c r="G219" s="17" t="s">
        <v>35</v>
      </c>
      <c r="H219" s="116">
        <v>500</v>
      </c>
      <c r="I219" s="105"/>
      <c r="J219" s="17" t="s">
        <v>43</v>
      </c>
      <c r="K219" s="49" t="s">
        <v>37</v>
      </c>
      <c r="L219" s="1"/>
      <c r="M219" s="1">
        <v>100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7"/>
      <c r="B220" s="17" t="s">
        <v>1062</v>
      </c>
      <c r="C220" s="17" t="s">
        <v>246</v>
      </c>
      <c r="D220" s="17" t="s">
        <v>613</v>
      </c>
      <c r="E220" s="17" t="s">
        <v>507</v>
      </c>
      <c r="F220" s="17"/>
      <c r="G220" s="17" t="s">
        <v>35</v>
      </c>
      <c r="H220" s="116">
        <v>4000</v>
      </c>
      <c r="I220" s="105">
        <v>800</v>
      </c>
      <c r="J220" s="17" t="s">
        <v>36</v>
      </c>
      <c r="K220" s="49" t="s">
        <v>37</v>
      </c>
      <c r="L220" s="1"/>
      <c r="M220" s="1">
        <v>700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49"/>
      <c r="B221" s="49" t="s">
        <v>424</v>
      </c>
      <c r="C221" s="49" t="s">
        <v>246</v>
      </c>
      <c r="D221" s="49" t="s">
        <v>2520</v>
      </c>
      <c r="E221" s="49" t="s">
        <v>164</v>
      </c>
      <c r="F221" s="49"/>
      <c r="G221" s="49" t="s">
        <v>35</v>
      </c>
      <c r="H221" s="50">
        <v>3500</v>
      </c>
      <c r="I221" s="55">
        <v>700</v>
      </c>
      <c r="J221" s="49" t="s">
        <v>36</v>
      </c>
      <c r="K221" s="49" t="s">
        <v>37</v>
      </c>
      <c r="L221" s="1"/>
      <c r="M221" s="1">
        <v>800</v>
      </c>
      <c r="N221" s="1"/>
      <c r="O221" s="1"/>
      <c r="P221" s="1"/>
    </row>
    <row r="222" spans="1:26" ht="15.75" customHeight="1">
      <c r="A222" s="49"/>
      <c r="B222" s="49" t="s">
        <v>2521</v>
      </c>
      <c r="C222" s="49" t="s">
        <v>227</v>
      </c>
      <c r="D222" s="49" t="s">
        <v>409</v>
      </c>
      <c r="E222" s="49" t="s">
        <v>235</v>
      </c>
      <c r="F222" s="49"/>
      <c r="G222" s="49" t="s">
        <v>35</v>
      </c>
      <c r="H222" s="50">
        <v>500</v>
      </c>
      <c r="I222" s="55"/>
      <c r="J222" s="49" t="s">
        <v>43</v>
      </c>
      <c r="K222" s="49" t="s">
        <v>37</v>
      </c>
      <c r="L222" s="1"/>
      <c r="M222" s="1">
        <v>100</v>
      </c>
      <c r="N222" s="1"/>
      <c r="O222" s="1"/>
      <c r="P222" s="1"/>
    </row>
    <row r="223" spans="1:26" ht="15.75" customHeight="1">
      <c r="A223" s="49"/>
      <c r="B223" s="49" t="s">
        <v>2521</v>
      </c>
      <c r="C223" s="49" t="s">
        <v>227</v>
      </c>
      <c r="D223" s="49" t="s">
        <v>409</v>
      </c>
      <c r="E223" s="49" t="s">
        <v>235</v>
      </c>
      <c r="F223" s="49"/>
      <c r="G223" s="49" t="s">
        <v>35</v>
      </c>
      <c r="H223" s="50">
        <v>1300</v>
      </c>
      <c r="I223" s="55">
        <v>260</v>
      </c>
      <c r="J223" s="49" t="s">
        <v>36</v>
      </c>
      <c r="K223" s="49" t="s">
        <v>37</v>
      </c>
      <c r="L223" s="1"/>
      <c r="M223" s="1"/>
      <c r="N223" s="1"/>
      <c r="O223" s="1"/>
      <c r="P223" s="1"/>
    </row>
    <row r="224" spans="1:26" ht="15.75" customHeight="1">
      <c r="A224" s="49"/>
      <c r="B224" s="49" t="s">
        <v>1582</v>
      </c>
      <c r="C224" s="49" t="s">
        <v>227</v>
      </c>
      <c r="D224" s="49" t="s">
        <v>556</v>
      </c>
      <c r="E224" s="49" t="s">
        <v>232</v>
      </c>
      <c r="F224" s="49"/>
      <c r="G224" s="49" t="s">
        <v>35</v>
      </c>
      <c r="H224" s="50">
        <v>5000</v>
      </c>
      <c r="I224" s="55">
        <v>1000</v>
      </c>
      <c r="J224" s="49" t="s">
        <v>36</v>
      </c>
      <c r="K224" s="49" t="s">
        <v>37</v>
      </c>
      <c r="L224" s="1"/>
      <c r="M224" s="1">
        <v>2400</v>
      </c>
      <c r="N224" s="1"/>
      <c r="O224" s="1"/>
      <c r="P224" s="1"/>
    </row>
    <row r="225" spans="1:26" ht="15.75" customHeight="1">
      <c r="A225" s="49"/>
      <c r="B225" s="49" t="s">
        <v>2522</v>
      </c>
      <c r="C225" s="49" t="s">
        <v>227</v>
      </c>
      <c r="D225" s="49" t="s">
        <v>1508</v>
      </c>
      <c r="E225" s="49" t="s">
        <v>2523</v>
      </c>
      <c r="F225" s="49"/>
      <c r="G225" s="49" t="s">
        <v>35</v>
      </c>
      <c r="H225" s="50">
        <v>150</v>
      </c>
      <c r="I225" s="55">
        <v>45</v>
      </c>
      <c r="J225" s="49" t="s">
        <v>36</v>
      </c>
      <c r="K225" s="49" t="s">
        <v>37</v>
      </c>
      <c r="L225" s="1"/>
      <c r="M225" s="1"/>
      <c r="N225" s="1"/>
      <c r="O225" s="1"/>
      <c r="P225" s="1"/>
    </row>
    <row r="226" spans="1:26" ht="15.75" customHeight="1">
      <c r="A226" s="49"/>
      <c r="B226" s="49" t="s">
        <v>2524</v>
      </c>
      <c r="C226" s="49" t="s">
        <v>227</v>
      </c>
      <c r="D226" s="49" t="s">
        <v>342</v>
      </c>
      <c r="E226" s="49" t="s">
        <v>307</v>
      </c>
      <c r="F226" s="49"/>
      <c r="G226" s="49" t="s">
        <v>35</v>
      </c>
      <c r="H226" s="50">
        <v>200</v>
      </c>
      <c r="I226" s="55">
        <v>40</v>
      </c>
      <c r="J226" s="49" t="s">
        <v>36</v>
      </c>
      <c r="K226" s="49" t="s">
        <v>37</v>
      </c>
      <c r="L226" s="1"/>
      <c r="M226" s="1">
        <v>50</v>
      </c>
      <c r="N226" s="1"/>
      <c r="O226" s="1"/>
      <c r="P226" s="1"/>
    </row>
    <row r="227" spans="1:26" ht="15.75" customHeight="1">
      <c r="A227" s="101"/>
      <c r="B227" s="101" t="s">
        <v>2525</v>
      </c>
      <c r="C227" s="101" t="s">
        <v>227</v>
      </c>
      <c r="D227" s="101" t="s">
        <v>679</v>
      </c>
      <c r="E227" s="101" t="s">
        <v>232</v>
      </c>
      <c r="F227" s="101"/>
      <c r="G227" s="101" t="s">
        <v>35</v>
      </c>
      <c r="H227" s="114">
        <v>5000</v>
      </c>
      <c r="I227" s="102">
        <v>1000</v>
      </c>
      <c r="J227" s="101" t="s">
        <v>36</v>
      </c>
      <c r="K227" s="49" t="s">
        <v>37</v>
      </c>
      <c r="L227" s="1"/>
      <c r="M227" s="1">
        <v>3500</v>
      </c>
      <c r="N227" s="1"/>
      <c r="O227" s="1"/>
      <c r="P227" s="1"/>
    </row>
    <row r="228" spans="1:26" ht="15.75" customHeight="1">
      <c r="A228" s="17">
        <v>23</v>
      </c>
      <c r="B228" s="17" t="s">
        <v>2526</v>
      </c>
      <c r="C228" s="17" t="s">
        <v>227</v>
      </c>
      <c r="D228" s="17" t="s">
        <v>602</v>
      </c>
      <c r="E228" s="17" t="s">
        <v>235</v>
      </c>
      <c r="F228" s="17"/>
      <c r="G228" s="17" t="s">
        <v>35</v>
      </c>
      <c r="H228" s="116">
        <v>500</v>
      </c>
      <c r="I228" s="105">
        <v>100</v>
      </c>
      <c r="J228" s="17" t="s">
        <v>36</v>
      </c>
      <c r="K228" s="49" t="s">
        <v>37</v>
      </c>
      <c r="L228" s="4"/>
      <c r="M228" s="1">
        <v>100</v>
      </c>
      <c r="N228" s="1"/>
      <c r="O228" s="1"/>
      <c r="P228" s="1"/>
    </row>
    <row r="229" spans="1:26" ht="15.75" customHeight="1">
      <c r="A229" s="49"/>
      <c r="B229" s="49" t="s">
        <v>2527</v>
      </c>
      <c r="C229" s="49" t="s">
        <v>227</v>
      </c>
      <c r="D229" s="49" t="s">
        <v>164</v>
      </c>
      <c r="E229" s="49" t="s">
        <v>321</v>
      </c>
      <c r="F229" s="49"/>
      <c r="G229" s="49" t="s">
        <v>35</v>
      </c>
      <c r="H229" s="50">
        <v>2000</v>
      </c>
      <c r="I229" s="55">
        <v>400</v>
      </c>
      <c r="J229" s="49" t="s">
        <v>36</v>
      </c>
      <c r="K229" s="49" t="s">
        <v>37</v>
      </c>
      <c r="L229" s="1"/>
      <c r="M229" s="1">
        <v>500</v>
      </c>
      <c r="N229" s="1"/>
      <c r="O229" s="1"/>
      <c r="P229" s="1"/>
    </row>
    <row r="230" spans="1:26" ht="15.75" customHeight="1">
      <c r="A230" s="49"/>
      <c r="B230" s="49" t="s">
        <v>2528</v>
      </c>
      <c r="C230" s="49" t="s">
        <v>227</v>
      </c>
      <c r="D230" s="49" t="s">
        <v>326</v>
      </c>
      <c r="E230" s="49" t="s">
        <v>199</v>
      </c>
      <c r="F230" s="49"/>
      <c r="G230" s="49" t="s">
        <v>35</v>
      </c>
      <c r="H230" s="50">
        <v>1000</v>
      </c>
      <c r="I230" s="55">
        <v>200</v>
      </c>
      <c r="J230" s="49" t="s">
        <v>36</v>
      </c>
      <c r="K230" s="49" t="s">
        <v>37</v>
      </c>
      <c r="L230" s="1"/>
      <c r="M230" s="1">
        <v>300</v>
      </c>
      <c r="N230" s="1"/>
      <c r="O230" s="1"/>
      <c r="P230" s="1"/>
    </row>
    <row r="231" spans="1:26" ht="15.75" customHeight="1">
      <c r="A231" s="49"/>
      <c r="B231" s="49" t="s">
        <v>2529</v>
      </c>
      <c r="C231" s="49" t="s">
        <v>227</v>
      </c>
      <c r="D231" s="49" t="s">
        <v>1712</v>
      </c>
      <c r="E231" s="49" t="s">
        <v>33</v>
      </c>
      <c r="F231" s="49"/>
      <c r="G231" s="49" t="s">
        <v>35</v>
      </c>
      <c r="H231" s="50">
        <v>1000</v>
      </c>
      <c r="I231" s="55">
        <v>200</v>
      </c>
      <c r="J231" s="49" t="s">
        <v>36</v>
      </c>
      <c r="K231" s="49" t="s">
        <v>37</v>
      </c>
      <c r="L231" s="1"/>
      <c r="M231" s="1">
        <v>250</v>
      </c>
      <c r="N231" s="1"/>
      <c r="O231" s="1"/>
      <c r="P231" s="1"/>
    </row>
    <row r="232" spans="1:26" ht="15.75" customHeight="1">
      <c r="A232" s="49"/>
      <c r="B232" s="49" t="s">
        <v>2530</v>
      </c>
      <c r="C232" s="49" t="s">
        <v>227</v>
      </c>
      <c r="D232" s="49" t="s">
        <v>332</v>
      </c>
      <c r="E232" s="49" t="s">
        <v>193</v>
      </c>
      <c r="F232" s="49"/>
      <c r="G232" s="49" t="s">
        <v>35</v>
      </c>
      <c r="H232" s="50">
        <v>12000</v>
      </c>
      <c r="I232" s="55">
        <v>2400</v>
      </c>
      <c r="J232" s="49" t="s">
        <v>36</v>
      </c>
      <c r="K232" s="49" t="s">
        <v>37</v>
      </c>
      <c r="L232" s="1"/>
      <c r="M232" s="1">
        <v>3000</v>
      </c>
      <c r="N232" s="1"/>
      <c r="O232" s="1"/>
      <c r="P232" s="1"/>
    </row>
    <row r="233" spans="1:26" ht="15.75" customHeight="1">
      <c r="A233" s="49"/>
      <c r="B233" s="49" t="s">
        <v>2530</v>
      </c>
      <c r="C233" s="49" t="s">
        <v>227</v>
      </c>
      <c r="D233" s="49" t="s">
        <v>332</v>
      </c>
      <c r="E233" s="49" t="s">
        <v>193</v>
      </c>
      <c r="F233" s="49"/>
      <c r="G233" s="49" t="s">
        <v>120</v>
      </c>
      <c r="H233" s="50">
        <v>10</v>
      </c>
      <c r="I233" s="55">
        <v>100</v>
      </c>
      <c r="J233" s="49" t="s">
        <v>36</v>
      </c>
      <c r="K233" s="49" t="s">
        <v>37</v>
      </c>
      <c r="L233" s="1"/>
      <c r="M233" s="1"/>
      <c r="N233" s="1"/>
      <c r="O233" s="1"/>
      <c r="P233" s="1"/>
    </row>
    <row r="234" spans="1:26" ht="15.75" customHeight="1">
      <c r="A234" s="101"/>
      <c r="B234" s="101" t="s">
        <v>395</v>
      </c>
      <c r="C234" s="101" t="s">
        <v>227</v>
      </c>
      <c r="D234" s="101" t="s">
        <v>2531</v>
      </c>
      <c r="E234" s="101" t="s">
        <v>48</v>
      </c>
      <c r="F234" s="101"/>
      <c r="G234" s="101" t="s">
        <v>120</v>
      </c>
      <c r="H234" s="114">
        <v>20</v>
      </c>
      <c r="I234" s="102">
        <v>200</v>
      </c>
      <c r="J234" s="49" t="s">
        <v>36</v>
      </c>
      <c r="K234" s="49" t="s">
        <v>37</v>
      </c>
      <c r="L234" s="1"/>
      <c r="M234" s="1"/>
      <c r="N234" s="1"/>
      <c r="O234" s="1"/>
      <c r="P234" s="1"/>
    </row>
    <row r="235" spans="1:26" ht="15.75" customHeight="1">
      <c r="A235" s="17">
        <v>24</v>
      </c>
      <c r="B235" s="17" t="s">
        <v>2532</v>
      </c>
      <c r="C235" s="17" t="s">
        <v>227</v>
      </c>
      <c r="D235" s="17" t="s">
        <v>679</v>
      </c>
      <c r="E235" s="17" t="s">
        <v>232</v>
      </c>
      <c r="F235" s="17"/>
      <c r="G235" s="17" t="s">
        <v>35</v>
      </c>
      <c r="H235" s="116">
        <v>1000</v>
      </c>
      <c r="I235" s="105">
        <v>200</v>
      </c>
      <c r="J235" s="49" t="s">
        <v>36</v>
      </c>
      <c r="K235" s="49" t="s">
        <v>37</v>
      </c>
      <c r="L235" s="4"/>
      <c r="M235" s="1">
        <v>400</v>
      </c>
      <c r="N235" s="1"/>
      <c r="O235" s="1"/>
      <c r="P235" s="1"/>
    </row>
    <row r="236" spans="1:26" ht="15.75" customHeight="1">
      <c r="A236" s="49"/>
      <c r="B236" s="49" t="s">
        <v>2533</v>
      </c>
      <c r="C236" s="49" t="s">
        <v>227</v>
      </c>
      <c r="D236" s="49" t="s">
        <v>1690</v>
      </c>
      <c r="E236" s="49" t="s">
        <v>51</v>
      </c>
      <c r="F236" s="49"/>
      <c r="G236" s="49" t="s">
        <v>35</v>
      </c>
      <c r="H236" s="50">
        <v>1000</v>
      </c>
      <c r="I236" s="55">
        <v>200</v>
      </c>
      <c r="J236" s="49" t="s">
        <v>36</v>
      </c>
      <c r="K236" s="49" t="s">
        <v>37</v>
      </c>
      <c r="L236" s="1"/>
      <c r="M236" s="1">
        <v>450</v>
      </c>
      <c r="N236" s="1"/>
      <c r="O236" s="1"/>
      <c r="P236" s="1"/>
    </row>
    <row r="237" spans="1:26" ht="15.75" customHeight="1">
      <c r="A237" s="49"/>
      <c r="B237" s="49" t="s">
        <v>2533</v>
      </c>
      <c r="C237" s="49" t="s">
        <v>227</v>
      </c>
      <c r="D237" s="49" t="s">
        <v>1690</v>
      </c>
      <c r="E237" s="49" t="s">
        <v>51</v>
      </c>
      <c r="F237" s="49"/>
      <c r="G237" s="49" t="s">
        <v>35</v>
      </c>
      <c r="H237" s="50">
        <v>300</v>
      </c>
      <c r="I237" s="55">
        <v>90</v>
      </c>
      <c r="J237" s="49" t="s">
        <v>36</v>
      </c>
      <c r="K237" s="49" t="s">
        <v>37</v>
      </c>
      <c r="L237" s="1"/>
      <c r="M237" s="1"/>
      <c r="N237" s="1"/>
      <c r="O237" s="1"/>
      <c r="P237" s="1"/>
    </row>
    <row r="238" spans="1:26" ht="15.75" customHeight="1">
      <c r="A238" s="49"/>
      <c r="B238" s="49" t="s">
        <v>2534</v>
      </c>
      <c r="C238" s="49" t="s">
        <v>227</v>
      </c>
      <c r="D238" s="49" t="s">
        <v>2535</v>
      </c>
      <c r="E238" s="49" t="s">
        <v>285</v>
      </c>
      <c r="F238" s="49"/>
      <c r="G238" s="49" t="s">
        <v>35</v>
      </c>
      <c r="H238" s="50">
        <v>1000</v>
      </c>
      <c r="I238" s="55">
        <v>200</v>
      </c>
      <c r="J238" s="49" t="s">
        <v>36</v>
      </c>
      <c r="K238" s="49" t="s">
        <v>37</v>
      </c>
      <c r="L238" s="1"/>
      <c r="M238" s="1">
        <v>300</v>
      </c>
      <c r="N238" s="1"/>
      <c r="O238" s="1"/>
      <c r="P238" s="1"/>
    </row>
    <row r="239" spans="1:26" ht="15.75" customHeight="1">
      <c r="A239" s="101"/>
      <c r="B239" s="101" t="s">
        <v>2536</v>
      </c>
      <c r="C239" s="101" t="s">
        <v>227</v>
      </c>
      <c r="D239" s="101" t="s">
        <v>304</v>
      </c>
      <c r="E239" s="101" t="s">
        <v>241</v>
      </c>
      <c r="F239" s="101"/>
      <c r="G239" s="101" t="s">
        <v>35</v>
      </c>
      <c r="H239" s="114">
        <v>4500</v>
      </c>
      <c r="I239" s="102">
        <v>900</v>
      </c>
      <c r="J239" s="101" t="s">
        <v>36</v>
      </c>
      <c r="K239" s="49" t="s">
        <v>37</v>
      </c>
      <c r="L239" s="1"/>
      <c r="M239" s="1">
        <v>400</v>
      </c>
      <c r="N239" s="1"/>
      <c r="O239" s="1"/>
      <c r="P239" s="1"/>
    </row>
    <row r="240" spans="1:26" ht="15.75" customHeight="1">
      <c r="A240" s="17">
        <v>25</v>
      </c>
      <c r="B240" s="17" t="s">
        <v>2537</v>
      </c>
      <c r="C240" s="17" t="s">
        <v>227</v>
      </c>
      <c r="D240" s="17" t="s">
        <v>947</v>
      </c>
      <c r="E240" s="17" t="s">
        <v>307</v>
      </c>
      <c r="F240" s="17"/>
      <c r="G240" s="17" t="s">
        <v>35</v>
      </c>
      <c r="H240" s="116">
        <v>150</v>
      </c>
      <c r="I240" s="105"/>
      <c r="J240" s="17" t="s">
        <v>43</v>
      </c>
      <c r="K240" s="49" t="s">
        <v>37</v>
      </c>
      <c r="L240" s="1"/>
      <c r="M240" s="1">
        <v>50</v>
      </c>
      <c r="N240" s="1"/>
      <c r="O240" s="1"/>
      <c r="P240" s="1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spans="1:16" ht="15.75" customHeight="1">
      <c r="A241" s="49"/>
      <c r="B241" s="49" t="s">
        <v>769</v>
      </c>
      <c r="C241" s="49" t="s">
        <v>227</v>
      </c>
      <c r="D241" s="49" t="s">
        <v>770</v>
      </c>
      <c r="E241" s="49" t="s">
        <v>235</v>
      </c>
      <c r="F241" s="49"/>
      <c r="G241" s="49" t="s">
        <v>120</v>
      </c>
      <c r="H241" s="50">
        <v>9</v>
      </c>
      <c r="I241" s="55">
        <v>90</v>
      </c>
      <c r="J241" s="49" t="s">
        <v>36</v>
      </c>
      <c r="K241" s="49" t="s">
        <v>37</v>
      </c>
      <c r="L241" s="1"/>
      <c r="M241" s="1"/>
      <c r="N241" s="1"/>
      <c r="O241" s="1"/>
      <c r="P241" s="1"/>
    </row>
    <row r="242" spans="1:16" ht="15.75" customHeight="1">
      <c r="A242" s="49"/>
      <c r="B242" s="49" t="s">
        <v>2538</v>
      </c>
      <c r="C242" s="49" t="s">
        <v>246</v>
      </c>
      <c r="D242" s="49" t="s">
        <v>2505</v>
      </c>
      <c r="E242" s="49" t="s">
        <v>235</v>
      </c>
      <c r="F242" s="49"/>
      <c r="G242" s="49" t="s">
        <v>35</v>
      </c>
      <c r="H242" s="50">
        <v>200</v>
      </c>
      <c r="I242" s="55">
        <v>60</v>
      </c>
      <c r="J242" s="49" t="s">
        <v>36</v>
      </c>
      <c r="K242" s="49" t="s">
        <v>37</v>
      </c>
      <c r="L242" s="4"/>
      <c r="M242" s="1">
        <v>50</v>
      </c>
      <c r="N242" s="1"/>
      <c r="O242" s="1"/>
      <c r="P242" s="1"/>
    </row>
    <row r="243" spans="1:16" ht="15.75" customHeight="1">
      <c r="A243" s="49"/>
      <c r="B243" s="49" t="s">
        <v>2539</v>
      </c>
      <c r="C243" s="49" t="s">
        <v>246</v>
      </c>
      <c r="D243" s="49" t="s">
        <v>301</v>
      </c>
      <c r="E243" s="49" t="s">
        <v>193</v>
      </c>
      <c r="F243" s="49"/>
      <c r="G243" s="49" t="s">
        <v>35</v>
      </c>
      <c r="H243" s="50">
        <v>15000</v>
      </c>
      <c r="I243" s="55">
        <v>3000</v>
      </c>
      <c r="J243" s="49" t="s">
        <v>36</v>
      </c>
      <c r="K243" s="49" t="s">
        <v>37</v>
      </c>
      <c r="L243" s="4"/>
      <c r="M243" s="1">
        <v>3000</v>
      </c>
      <c r="N243" s="1"/>
      <c r="O243" s="1"/>
      <c r="P243" s="1"/>
    </row>
    <row r="244" spans="1:16" ht="15.75" customHeight="1">
      <c r="A244" s="49"/>
      <c r="B244" s="49" t="s">
        <v>2540</v>
      </c>
      <c r="C244" s="49" t="s">
        <v>227</v>
      </c>
      <c r="D244" s="49" t="s">
        <v>1215</v>
      </c>
      <c r="E244" s="49" t="s">
        <v>232</v>
      </c>
      <c r="F244" s="49"/>
      <c r="G244" s="49" t="s">
        <v>35</v>
      </c>
      <c r="H244" s="50">
        <v>500</v>
      </c>
      <c r="I244" s="55"/>
      <c r="J244" s="49" t="s">
        <v>43</v>
      </c>
      <c r="K244" s="49" t="s">
        <v>37</v>
      </c>
      <c r="L244" s="4"/>
      <c r="M244" s="1"/>
      <c r="N244" s="1"/>
      <c r="O244" s="1"/>
      <c r="P244" s="1"/>
    </row>
    <row r="245" spans="1:16" ht="15.75" customHeight="1">
      <c r="A245" s="49"/>
      <c r="B245" s="49" t="s">
        <v>2540</v>
      </c>
      <c r="C245" s="49" t="s">
        <v>227</v>
      </c>
      <c r="D245" s="49" t="s">
        <v>1215</v>
      </c>
      <c r="E245" s="49" t="s">
        <v>232</v>
      </c>
      <c r="F245" s="49"/>
      <c r="G245" s="49"/>
      <c r="H245" s="50">
        <v>500</v>
      </c>
      <c r="I245" s="55">
        <v>100</v>
      </c>
      <c r="J245" s="49" t="s">
        <v>36</v>
      </c>
      <c r="K245" s="49" t="s">
        <v>37</v>
      </c>
      <c r="L245" s="1"/>
      <c r="M245" s="1"/>
      <c r="N245" s="1"/>
      <c r="O245" s="1"/>
      <c r="P245" s="1"/>
    </row>
    <row r="246" spans="1:16" ht="15.75" customHeight="1">
      <c r="A246" s="49"/>
      <c r="B246" s="49" t="s">
        <v>2541</v>
      </c>
      <c r="C246" s="49" t="s">
        <v>246</v>
      </c>
      <c r="D246" s="49" t="s">
        <v>304</v>
      </c>
      <c r="E246" s="49" t="s">
        <v>241</v>
      </c>
      <c r="F246" s="49"/>
      <c r="G246" s="49" t="s">
        <v>35</v>
      </c>
      <c r="H246" s="50">
        <v>6000</v>
      </c>
      <c r="I246" s="55">
        <v>1200</v>
      </c>
      <c r="J246" s="49" t="s">
        <v>36</v>
      </c>
      <c r="K246" s="49" t="s">
        <v>37</v>
      </c>
      <c r="L246" s="1"/>
      <c r="M246" s="1"/>
      <c r="N246" s="1"/>
      <c r="O246" s="1"/>
      <c r="P246" s="1"/>
    </row>
    <row r="247" spans="1:16" ht="15.75" customHeight="1">
      <c r="A247" s="49"/>
      <c r="B247" s="49" t="s">
        <v>2541</v>
      </c>
      <c r="C247" s="49" t="s">
        <v>246</v>
      </c>
      <c r="D247" s="49" t="s">
        <v>304</v>
      </c>
      <c r="E247" s="49" t="s">
        <v>241</v>
      </c>
      <c r="F247" s="49"/>
      <c r="G247" s="49" t="s">
        <v>170</v>
      </c>
      <c r="H247" s="50">
        <v>280</v>
      </c>
      <c r="I247" s="55">
        <v>280</v>
      </c>
      <c r="J247" s="49" t="s">
        <v>36</v>
      </c>
      <c r="K247" s="49" t="s">
        <v>37</v>
      </c>
      <c r="L247" s="1"/>
      <c r="M247" s="1"/>
      <c r="N247" s="1"/>
      <c r="O247" s="1"/>
      <c r="P247" s="1"/>
    </row>
    <row r="248" spans="1:16" ht="15.75" customHeight="1">
      <c r="A248" s="101"/>
      <c r="B248" s="101" t="s">
        <v>2542</v>
      </c>
      <c r="C248" s="101" t="s">
        <v>227</v>
      </c>
      <c r="D248" s="101" t="s">
        <v>554</v>
      </c>
      <c r="E248" s="101" t="s">
        <v>232</v>
      </c>
      <c r="F248" s="101"/>
      <c r="G248" s="101" t="s">
        <v>35</v>
      </c>
      <c r="H248" s="114">
        <v>500</v>
      </c>
      <c r="I248" s="102">
        <v>100</v>
      </c>
      <c r="J248" s="101" t="s">
        <v>36</v>
      </c>
      <c r="K248" s="49" t="s">
        <v>37</v>
      </c>
      <c r="L248" s="1"/>
      <c r="M248" s="1">
        <v>80</v>
      </c>
      <c r="N248" s="1"/>
      <c r="O248" s="1"/>
      <c r="P248" s="1"/>
    </row>
    <row r="249" spans="1:16" ht="15.75" customHeight="1">
      <c r="A249" s="17">
        <v>26</v>
      </c>
      <c r="B249" s="17" t="s">
        <v>1451</v>
      </c>
      <c r="C249" s="17" t="s">
        <v>246</v>
      </c>
      <c r="D249" s="17" t="s">
        <v>2543</v>
      </c>
      <c r="E249" s="17" t="s">
        <v>51</v>
      </c>
      <c r="F249" s="17"/>
      <c r="G249" s="17" t="s">
        <v>242</v>
      </c>
      <c r="H249" s="116">
        <v>30</v>
      </c>
      <c r="I249" s="105">
        <v>90</v>
      </c>
      <c r="J249" s="49" t="s">
        <v>36</v>
      </c>
      <c r="K249" s="49" t="s">
        <v>37</v>
      </c>
      <c r="L249" s="1"/>
      <c r="M249" s="1"/>
      <c r="N249" s="1"/>
      <c r="O249" s="1"/>
      <c r="P249" s="1"/>
    </row>
    <row r="250" spans="1:16" ht="15.75" customHeight="1">
      <c r="A250" s="49"/>
      <c r="B250" s="17" t="s">
        <v>1451</v>
      </c>
      <c r="C250" s="17" t="s">
        <v>246</v>
      </c>
      <c r="D250" s="17" t="s">
        <v>2543</v>
      </c>
      <c r="E250" s="17" t="s">
        <v>51</v>
      </c>
      <c r="F250" s="49"/>
      <c r="G250" s="49" t="s">
        <v>120</v>
      </c>
      <c r="H250" s="50">
        <v>10</v>
      </c>
      <c r="I250" s="55">
        <v>100</v>
      </c>
      <c r="J250" s="49" t="s">
        <v>36</v>
      </c>
      <c r="K250" s="49" t="s">
        <v>37</v>
      </c>
      <c r="L250" s="1"/>
      <c r="M250" s="1"/>
      <c r="N250" s="1"/>
      <c r="O250" s="1"/>
      <c r="P250" s="1"/>
    </row>
    <row r="251" spans="1:16" ht="15.75" customHeight="1">
      <c r="A251" s="49"/>
      <c r="B251" s="49" t="s">
        <v>2544</v>
      </c>
      <c r="C251" s="49" t="s">
        <v>227</v>
      </c>
      <c r="D251" s="49" t="s">
        <v>292</v>
      </c>
      <c r="E251" s="49" t="s">
        <v>235</v>
      </c>
      <c r="F251" s="49"/>
      <c r="G251" s="49" t="s">
        <v>35</v>
      </c>
      <c r="H251" s="50">
        <v>500</v>
      </c>
      <c r="I251" s="55">
        <v>100</v>
      </c>
      <c r="J251" s="49" t="s">
        <v>36</v>
      </c>
      <c r="K251" s="49" t="s">
        <v>37</v>
      </c>
      <c r="L251" s="4"/>
      <c r="M251" s="1">
        <v>70</v>
      </c>
      <c r="N251" s="1"/>
      <c r="O251" s="1"/>
      <c r="P251" s="1"/>
    </row>
    <row r="252" spans="1:16" ht="15.75" customHeight="1">
      <c r="A252" s="49"/>
      <c r="B252" s="49" t="s">
        <v>2545</v>
      </c>
      <c r="C252" s="49" t="s">
        <v>227</v>
      </c>
      <c r="D252" s="49" t="s">
        <v>2546</v>
      </c>
      <c r="E252" s="49" t="s">
        <v>507</v>
      </c>
      <c r="F252" s="49"/>
      <c r="G252" s="49" t="s">
        <v>35</v>
      </c>
      <c r="H252" s="50">
        <v>500</v>
      </c>
      <c r="I252" s="55"/>
      <c r="J252" s="49" t="s">
        <v>43</v>
      </c>
      <c r="K252" s="49" t="s">
        <v>37</v>
      </c>
      <c r="L252" s="4"/>
      <c r="M252" s="1"/>
      <c r="N252" s="1"/>
      <c r="O252" s="1"/>
      <c r="P252" s="1"/>
    </row>
    <row r="253" spans="1:16" ht="15.75" customHeight="1">
      <c r="A253" s="49"/>
      <c r="B253" s="49" t="s">
        <v>2545</v>
      </c>
      <c r="C253" s="49" t="s">
        <v>227</v>
      </c>
      <c r="D253" s="49" t="s">
        <v>2546</v>
      </c>
      <c r="E253" s="49" t="s">
        <v>507</v>
      </c>
      <c r="F253" s="49"/>
      <c r="G253" s="49" t="s">
        <v>35</v>
      </c>
      <c r="H253" s="50">
        <v>700</v>
      </c>
      <c r="I253" s="55">
        <v>140</v>
      </c>
      <c r="J253" s="49" t="s">
        <v>36</v>
      </c>
      <c r="K253" s="49" t="s">
        <v>37</v>
      </c>
      <c r="L253" s="4"/>
      <c r="M253" s="1">
        <v>150</v>
      </c>
      <c r="N253" s="1"/>
      <c r="O253" s="1"/>
      <c r="P253" s="1"/>
    </row>
    <row r="254" spans="1:16" ht="15.75" customHeight="1">
      <c r="A254" s="49"/>
      <c r="B254" s="49" t="s">
        <v>2545</v>
      </c>
      <c r="C254" s="49" t="s">
        <v>227</v>
      </c>
      <c r="D254" s="49" t="s">
        <v>2546</v>
      </c>
      <c r="E254" s="49" t="s">
        <v>507</v>
      </c>
      <c r="F254" s="49"/>
      <c r="G254" s="49" t="s">
        <v>120</v>
      </c>
      <c r="H254" s="50">
        <v>10</v>
      </c>
      <c r="I254" s="55">
        <v>100</v>
      </c>
      <c r="J254" s="49" t="s">
        <v>36</v>
      </c>
      <c r="K254" s="49" t="s">
        <v>37</v>
      </c>
      <c r="L254" s="1"/>
      <c r="M254" s="1"/>
      <c r="N254" s="1"/>
      <c r="O254" s="1"/>
      <c r="P254" s="1"/>
    </row>
    <row r="255" spans="1:16" ht="15.75" customHeight="1">
      <c r="A255" s="49"/>
      <c r="B255" s="49" t="s">
        <v>2547</v>
      </c>
      <c r="C255" s="49" t="s">
        <v>227</v>
      </c>
      <c r="D255" s="49" t="s">
        <v>405</v>
      </c>
      <c r="E255" s="49" t="s">
        <v>241</v>
      </c>
      <c r="F255" s="49"/>
      <c r="G255" s="49" t="s">
        <v>35</v>
      </c>
      <c r="H255" s="50">
        <v>4000</v>
      </c>
      <c r="I255" s="55">
        <v>800</v>
      </c>
      <c r="J255" s="49" t="s">
        <v>36</v>
      </c>
      <c r="K255" s="49" t="s">
        <v>37</v>
      </c>
      <c r="L255" s="1"/>
      <c r="M255" s="1">
        <v>1000</v>
      </c>
      <c r="N255" s="1"/>
      <c r="O255" s="1"/>
      <c r="P255" s="1"/>
    </row>
    <row r="256" spans="1:16" ht="15.75" customHeight="1">
      <c r="A256" s="49"/>
      <c r="B256" s="49" t="s">
        <v>2548</v>
      </c>
      <c r="C256" s="49" t="s">
        <v>227</v>
      </c>
      <c r="D256" s="49" t="s">
        <v>2026</v>
      </c>
      <c r="E256" s="49" t="s">
        <v>152</v>
      </c>
      <c r="F256" s="49"/>
      <c r="G256" s="49" t="s">
        <v>35</v>
      </c>
      <c r="H256" s="50">
        <v>1500</v>
      </c>
      <c r="I256" s="55">
        <v>300</v>
      </c>
      <c r="J256" s="49" t="s">
        <v>36</v>
      </c>
      <c r="K256" s="49" t="s">
        <v>37</v>
      </c>
      <c r="L256" s="1"/>
      <c r="M256" s="1"/>
      <c r="N256" s="1"/>
      <c r="O256" s="1"/>
      <c r="P256" s="1"/>
    </row>
    <row r="257" spans="1:16" ht="15.75" customHeight="1">
      <c r="A257" s="49"/>
      <c r="B257" s="49" t="s">
        <v>2549</v>
      </c>
      <c r="C257" s="49" t="s">
        <v>227</v>
      </c>
      <c r="D257" s="49" t="s">
        <v>548</v>
      </c>
      <c r="E257" s="49" t="s">
        <v>48</v>
      </c>
      <c r="F257" s="49"/>
      <c r="G257" s="49" t="s">
        <v>35</v>
      </c>
      <c r="H257" s="50">
        <v>4000</v>
      </c>
      <c r="I257" s="55">
        <v>800</v>
      </c>
      <c r="J257" s="49" t="s">
        <v>36</v>
      </c>
      <c r="K257" s="49" t="s">
        <v>37</v>
      </c>
      <c r="L257" s="1"/>
      <c r="M257" s="1">
        <v>250</v>
      </c>
      <c r="N257" s="1"/>
      <c r="O257" s="1"/>
      <c r="P257" s="1"/>
    </row>
    <row r="258" spans="1:16" ht="15.75" customHeight="1">
      <c r="A258" s="49"/>
      <c r="B258" s="49" t="s">
        <v>2550</v>
      </c>
      <c r="C258" s="49" t="s">
        <v>227</v>
      </c>
      <c r="D258" s="49" t="s">
        <v>407</v>
      </c>
      <c r="E258" s="49" t="s">
        <v>307</v>
      </c>
      <c r="F258" s="49"/>
      <c r="G258" s="49" t="s">
        <v>35</v>
      </c>
      <c r="H258" s="50">
        <v>200</v>
      </c>
      <c r="I258" s="55">
        <v>60</v>
      </c>
      <c r="J258" s="49" t="s">
        <v>36</v>
      </c>
      <c r="K258" s="49" t="s">
        <v>37</v>
      </c>
      <c r="L258" s="1"/>
      <c r="M258" s="1"/>
      <c r="N258" s="1"/>
      <c r="O258" s="1"/>
      <c r="P258" s="1"/>
    </row>
    <row r="259" spans="1:16" ht="15.75" customHeight="1">
      <c r="A259" s="101"/>
      <c r="B259" s="49" t="s">
        <v>2550</v>
      </c>
      <c r="C259" s="49" t="s">
        <v>227</v>
      </c>
      <c r="D259" s="49" t="s">
        <v>407</v>
      </c>
      <c r="E259" s="49" t="s">
        <v>307</v>
      </c>
      <c r="F259" s="101"/>
      <c r="G259" s="101" t="s">
        <v>120</v>
      </c>
      <c r="H259" s="114">
        <v>15</v>
      </c>
      <c r="I259" s="102">
        <v>150</v>
      </c>
      <c r="J259" s="49" t="s">
        <v>36</v>
      </c>
      <c r="K259" s="49" t="s">
        <v>37</v>
      </c>
      <c r="L259" s="1"/>
      <c r="M259" s="1"/>
      <c r="N259" s="1"/>
      <c r="O259" s="1"/>
      <c r="P259" s="1"/>
    </row>
    <row r="260" spans="1:16" ht="15.75" customHeight="1">
      <c r="A260" s="17">
        <v>27</v>
      </c>
      <c r="B260" s="17" t="s">
        <v>2551</v>
      </c>
      <c r="C260" s="17" t="s">
        <v>246</v>
      </c>
      <c r="D260" s="17" t="s">
        <v>2552</v>
      </c>
      <c r="E260" s="17" t="s">
        <v>142</v>
      </c>
      <c r="F260" s="17"/>
      <c r="G260" s="17" t="s">
        <v>35</v>
      </c>
      <c r="H260" s="116">
        <v>2500</v>
      </c>
      <c r="I260" s="105">
        <v>500</v>
      </c>
      <c r="J260" s="49" t="s">
        <v>36</v>
      </c>
      <c r="K260" s="49" t="s">
        <v>37</v>
      </c>
      <c r="L260" s="4"/>
      <c r="M260" s="1">
        <v>300</v>
      </c>
      <c r="N260" s="1"/>
      <c r="O260" s="1"/>
      <c r="P260" s="1"/>
    </row>
    <row r="261" spans="1:16" ht="15.75" customHeight="1">
      <c r="A261" s="49"/>
      <c r="B261" s="17" t="s">
        <v>2551</v>
      </c>
      <c r="C261" s="17" t="s">
        <v>246</v>
      </c>
      <c r="D261" s="17" t="s">
        <v>2552</v>
      </c>
      <c r="E261" s="17" t="s">
        <v>142</v>
      </c>
      <c r="F261" s="49"/>
      <c r="G261" s="49" t="s">
        <v>120</v>
      </c>
      <c r="H261" s="50">
        <v>10</v>
      </c>
      <c r="I261" s="55">
        <v>100</v>
      </c>
      <c r="J261" s="49" t="s">
        <v>36</v>
      </c>
      <c r="K261" s="49" t="s">
        <v>37</v>
      </c>
      <c r="L261" s="1"/>
      <c r="M261" s="1"/>
      <c r="N261" s="1"/>
      <c r="O261" s="1"/>
      <c r="P261" s="1"/>
    </row>
    <row r="262" spans="1:16" ht="15.75" customHeight="1">
      <c r="A262" s="49"/>
      <c r="B262" s="49" t="s">
        <v>2553</v>
      </c>
      <c r="C262" s="49" t="s">
        <v>227</v>
      </c>
      <c r="D262" s="49" t="s">
        <v>2554</v>
      </c>
      <c r="E262" s="49" t="s">
        <v>51</v>
      </c>
      <c r="F262" s="49"/>
      <c r="G262" s="49" t="s">
        <v>35</v>
      </c>
      <c r="H262" s="50">
        <v>400</v>
      </c>
      <c r="I262" s="55">
        <v>80</v>
      </c>
      <c r="J262" s="49" t="s">
        <v>36</v>
      </c>
      <c r="K262" s="49" t="s">
        <v>37</v>
      </c>
      <c r="L262" s="1"/>
      <c r="M262" s="1">
        <v>50</v>
      </c>
      <c r="N262" s="1"/>
      <c r="O262" s="1"/>
      <c r="P262" s="1"/>
    </row>
    <row r="263" spans="1:16" ht="15.75" customHeight="1">
      <c r="A263" s="49"/>
      <c r="B263" s="49" t="s">
        <v>2555</v>
      </c>
      <c r="C263" s="49" t="s">
        <v>227</v>
      </c>
      <c r="D263" s="49" t="s">
        <v>2556</v>
      </c>
      <c r="E263" s="49" t="s">
        <v>248</v>
      </c>
      <c r="F263" s="49"/>
      <c r="G263" s="49" t="s">
        <v>35</v>
      </c>
      <c r="H263" s="50">
        <v>250</v>
      </c>
      <c r="I263" s="55">
        <v>50</v>
      </c>
      <c r="J263" s="49" t="s">
        <v>36</v>
      </c>
      <c r="K263" s="49" t="s">
        <v>37</v>
      </c>
      <c r="L263" s="1"/>
      <c r="M263" s="1">
        <v>50</v>
      </c>
      <c r="N263" s="1"/>
      <c r="O263" s="1"/>
      <c r="P263" s="1"/>
    </row>
    <row r="264" spans="1:16" ht="15.75" customHeight="1">
      <c r="A264" s="49"/>
      <c r="B264" s="49" t="s">
        <v>2555</v>
      </c>
      <c r="C264" s="49" t="s">
        <v>227</v>
      </c>
      <c r="D264" s="49" t="s">
        <v>2556</v>
      </c>
      <c r="E264" s="49" t="s">
        <v>248</v>
      </c>
      <c r="F264" s="49"/>
      <c r="G264" s="49" t="s">
        <v>120</v>
      </c>
      <c r="H264" s="50">
        <v>20</v>
      </c>
      <c r="I264" s="55">
        <v>200</v>
      </c>
      <c r="J264" s="49" t="s">
        <v>36</v>
      </c>
      <c r="K264" s="49" t="s">
        <v>37</v>
      </c>
      <c r="L264" s="1"/>
      <c r="M264" s="1"/>
      <c r="N264" s="1"/>
      <c r="O264" s="1"/>
      <c r="P264" s="1"/>
    </row>
    <row r="265" spans="1:16" ht="15.75" customHeight="1">
      <c r="A265" s="49"/>
      <c r="B265" s="49" t="s">
        <v>2557</v>
      </c>
      <c r="C265" s="49" t="s">
        <v>227</v>
      </c>
      <c r="D265" s="49" t="s">
        <v>2558</v>
      </c>
      <c r="E265" s="49" t="s">
        <v>152</v>
      </c>
      <c r="F265" s="49"/>
      <c r="G265" s="49" t="s">
        <v>35</v>
      </c>
      <c r="H265" s="50">
        <v>500</v>
      </c>
      <c r="I265" s="55">
        <v>100</v>
      </c>
      <c r="J265" s="49" t="s">
        <v>36</v>
      </c>
      <c r="K265" s="49" t="s">
        <v>37</v>
      </c>
      <c r="L265" s="1"/>
      <c r="M265" s="1">
        <v>50</v>
      </c>
      <c r="N265" s="1"/>
      <c r="O265" s="1"/>
      <c r="P265" s="1"/>
    </row>
    <row r="266" spans="1:16" ht="15.75" customHeight="1">
      <c r="A266" s="101"/>
      <c r="B266" s="101" t="s">
        <v>2559</v>
      </c>
      <c r="C266" s="101" t="s">
        <v>227</v>
      </c>
      <c r="D266" s="101" t="s">
        <v>352</v>
      </c>
      <c r="E266" s="101" t="s">
        <v>307</v>
      </c>
      <c r="F266" s="101"/>
      <c r="G266" s="101" t="s">
        <v>35</v>
      </c>
      <c r="H266" s="114">
        <v>500</v>
      </c>
      <c r="I266" s="102">
        <v>100</v>
      </c>
      <c r="J266" s="101" t="s">
        <v>36</v>
      </c>
      <c r="K266" s="49" t="s">
        <v>37</v>
      </c>
      <c r="L266" s="1"/>
      <c r="M266" s="1">
        <v>50</v>
      </c>
      <c r="N266" s="1"/>
      <c r="O266" s="1"/>
      <c r="P266" s="1"/>
    </row>
    <row r="267" spans="1:16" ht="15.75" customHeight="1">
      <c r="A267" s="17">
        <v>28</v>
      </c>
      <c r="B267" s="17" t="s">
        <v>2560</v>
      </c>
      <c r="C267" s="17" t="s">
        <v>246</v>
      </c>
      <c r="D267" s="17"/>
      <c r="E267" s="17" t="s">
        <v>248</v>
      </c>
      <c r="F267" s="17"/>
      <c r="G267" s="17" t="s">
        <v>35</v>
      </c>
      <c r="H267" s="116">
        <v>5000</v>
      </c>
      <c r="I267" s="105">
        <v>1000</v>
      </c>
      <c r="J267" s="17" t="s">
        <v>36</v>
      </c>
      <c r="K267" s="49" t="s">
        <v>37</v>
      </c>
      <c r="L267" s="4"/>
      <c r="M267" s="1"/>
      <c r="N267" s="1"/>
      <c r="O267" s="1"/>
      <c r="P267" s="1"/>
    </row>
    <row r="268" spans="1:16" ht="15.75" customHeight="1">
      <c r="A268" s="17"/>
      <c r="B268" s="17" t="s">
        <v>2561</v>
      </c>
      <c r="C268" s="17" t="s">
        <v>227</v>
      </c>
      <c r="D268" s="17" t="s">
        <v>2562</v>
      </c>
      <c r="E268" s="17" t="s">
        <v>235</v>
      </c>
      <c r="F268" s="17"/>
      <c r="G268" s="17" t="s">
        <v>35</v>
      </c>
      <c r="H268" s="116">
        <v>5000</v>
      </c>
      <c r="I268" s="105">
        <v>1000</v>
      </c>
      <c r="J268" s="17" t="s">
        <v>36</v>
      </c>
      <c r="K268" s="49" t="s">
        <v>37</v>
      </c>
      <c r="L268" s="4"/>
      <c r="M268" s="1"/>
      <c r="N268" s="1"/>
      <c r="O268" s="1"/>
      <c r="P268" s="1"/>
    </row>
    <row r="269" spans="1:16" ht="15.75" customHeight="1">
      <c r="A269" s="17"/>
      <c r="B269" s="17" t="s">
        <v>2563</v>
      </c>
      <c r="C269" s="17" t="s">
        <v>246</v>
      </c>
      <c r="D269" s="17" t="s">
        <v>244</v>
      </c>
      <c r="E269" s="17" t="s">
        <v>232</v>
      </c>
      <c r="F269" s="17"/>
      <c r="G269" s="17" t="s">
        <v>35</v>
      </c>
      <c r="H269" s="116">
        <v>500</v>
      </c>
      <c r="I269" s="105">
        <v>100</v>
      </c>
      <c r="J269" s="17" t="s">
        <v>36</v>
      </c>
      <c r="K269" s="49" t="s">
        <v>37</v>
      </c>
      <c r="L269" s="4"/>
      <c r="M269" s="1"/>
      <c r="N269" s="1"/>
      <c r="O269" s="1"/>
      <c r="P269" s="1"/>
    </row>
    <row r="270" spans="1:16" ht="15.75" customHeight="1">
      <c r="A270" s="17"/>
      <c r="B270" s="17" t="s">
        <v>702</v>
      </c>
      <c r="C270" s="17" t="s">
        <v>227</v>
      </c>
      <c r="D270" s="17" t="s">
        <v>598</v>
      </c>
      <c r="E270" s="17" t="s">
        <v>232</v>
      </c>
      <c r="F270" s="17"/>
      <c r="G270" s="17" t="s">
        <v>35</v>
      </c>
      <c r="H270" s="116">
        <v>3000</v>
      </c>
      <c r="I270" s="105">
        <v>600</v>
      </c>
      <c r="J270" s="17" t="s">
        <v>36</v>
      </c>
      <c r="K270" s="49" t="s">
        <v>37</v>
      </c>
      <c r="L270" s="4"/>
      <c r="M270" s="1">
        <v>800</v>
      </c>
      <c r="N270" s="1"/>
      <c r="O270" s="1"/>
      <c r="P270" s="1"/>
    </row>
    <row r="271" spans="1:16" ht="15.75" customHeight="1">
      <c r="A271" s="17"/>
      <c r="B271" s="17" t="s">
        <v>2564</v>
      </c>
      <c r="C271" s="17" t="s">
        <v>227</v>
      </c>
      <c r="D271" s="17" t="s">
        <v>2565</v>
      </c>
      <c r="E271" s="17" t="s">
        <v>51</v>
      </c>
      <c r="F271" s="17"/>
      <c r="G271" s="17" t="s">
        <v>35</v>
      </c>
      <c r="H271" s="116">
        <v>500</v>
      </c>
      <c r="I271" s="105">
        <v>100</v>
      </c>
      <c r="J271" s="17" t="s">
        <v>36</v>
      </c>
      <c r="K271" s="49" t="s">
        <v>37</v>
      </c>
      <c r="L271" s="4"/>
      <c r="M271" s="1">
        <v>50</v>
      </c>
      <c r="N271" s="1"/>
      <c r="O271" s="1"/>
      <c r="P271" s="1"/>
    </row>
    <row r="272" spans="1:16" ht="15.75" customHeight="1">
      <c r="A272" s="49"/>
      <c r="B272" s="49" t="s">
        <v>2566</v>
      </c>
      <c r="C272" s="49" t="s">
        <v>227</v>
      </c>
      <c r="D272" s="49" t="s">
        <v>1215</v>
      </c>
      <c r="E272" s="49" t="s">
        <v>232</v>
      </c>
      <c r="F272" s="49"/>
      <c r="G272" s="49" t="s">
        <v>35</v>
      </c>
      <c r="H272" s="50">
        <v>4000</v>
      </c>
      <c r="I272" s="55">
        <v>800</v>
      </c>
      <c r="J272" s="49" t="s">
        <v>36</v>
      </c>
      <c r="K272" s="49" t="s">
        <v>37</v>
      </c>
      <c r="L272" s="1"/>
      <c r="M272" s="1">
        <v>800</v>
      </c>
      <c r="N272" s="1"/>
      <c r="O272" s="1"/>
      <c r="P272" s="1"/>
    </row>
    <row r="273" spans="1:16" ht="15.75" customHeight="1">
      <c r="A273" s="49"/>
      <c r="B273" s="49" t="s">
        <v>2567</v>
      </c>
      <c r="C273" s="49" t="s">
        <v>246</v>
      </c>
      <c r="D273" s="49" t="s">
        <v>421</v>
      </c>
      <c r="E273" s="49" t="s">
        <v>251</v>
      </c>
      <c r="F273" s="49"/>
      <c r="G273" s="49" t="s">
        <v>35</v>
      </c>
      <c r="H273" s="50">
        <v>500</v>
      </c>
      <c r="I273" s="55">
        <v>100</v>
      </c>
      <c r="J273" s="49" t="s">
        <v>36</v>
      </c>
      <c r="K273" s="49" t="s">
        <v>37</v>
      </c>
      <c r="L273" s="1"/>
      <c r="M273" s="1"/>
      <c r="N273" s="1"/>
      <c r="O273" s="1"/>
      <c r="P273" s="1"/>
    </row>
    <row r="274" spans="1:16" ht="15.75" customHeight="1">
      <c r="A274" s="101"/>
      <c r="B274" s="101" t="s">
        <v>2568</v>
      </c>
      <c r="C274" s="101" t="s">
        <v>246</v>
      </c>
      <c r="D274" s="101" t="s">
        <v>446</v>
      </c>
      <c r="E274" s="101" t="s">
        <v>164</v>
      </c>
      <c r="F274" s="101"/>
      <c r="G274" s="101" t="s">
        <v>35</v>
      </c>
      <c r="H274" s="114">
        <v>1250</v>
      </c>
      <c r="I274" s="102"/>
      <c r="J274" s="101" t="s">
        <v>43</v>
      </c>
      <c r="K274" s="49" t="s">
        <v>37</v>
      </c>
      <c r="L274" s="1"/>
      <c r="M274" s="1"/>
      <c r="N274" s="1"/>
      <c r="O274" s="1"/>
      <c r="P274" s="1"/>
    </row>
    <row r="275" spans="1:16" ht="15.75" customHeight="1">
      <c r="A275" s="17">
        <v>29</v>
      </c>
      <c r="B275" s="17" t="s">
        <v>2569</v>
      </c>
      <c r="C275" s="17" t="s">
        <v>227</v>
      </c>
      <c r="D275" s="17" t="s">
        <v>260</v>
      </c>
      <c r="E275" s="17" t="s">
        <v>51</v>
      </c>
      <c r="F275" s="17"/>
      <c r="G275" s="17" t="s">
        <v>120</v>
      </c>
      <c r="H275" s="116">
        <v>25</v>
      </c>
      <c r="I275" s="105">
        <v>250</v>
      </c>
      <c r="J275" s="49" t="s">
        <v>36</v>
      </c>
      <c r="K275" s="49" t="s">
        <v>37</v>
      </c>
      <c r="L275" s="1"/>
      <c r="M275" s="1"/>
      <c r="N275" s="1"/>
      <c r="O275" s="1"/>
      <c r="P275" s="1"/>
    </row>
    <row r="276" spans="1:16" ht="15.75" customHeight="1">
      <c r="A276" s="49"/>
      <c r="B276" s="49" t="s">
        <v>2325</v>
      </c>
      <c r="C276" s="49" t="s">
        <v>227</v>
      </c>
      <c r="D276" s="49" t="s">
        <v>2570</v>
      </c>
      <c r="E276" s="49" t="s">
        <v>321</v>
      </c>
      <c r="F276" s="49"/>
      <c r="G276" s="49" t="s">
        <v>35</v>
      </c>
      <c r="H276" s="50">
        <v>1700</v>
      </c>
      <c r="I276" s="55">
        <v>340</v>
      </c>
      <c r="J276" s="49" t="s">
        <v>36</v>
      </c>
      <c r="K276" s="49" t="s">
        <v>37</v>
      </c>
      <c r="L276" s="1"/>
      <c r="M276" s="1">
        <v>400</v>
      </c>
      <c r="N276" s="1"/>
      <c r="O276" s="1"/>
      <c r="P276" s="1"/>
    </row>
    <row r="277" spans="1:16" ht="15.75" customHeight="1">
      <c r="A277" s="49"/>
      <c r="B277" s="49" t="s">
        <v>2571</v>
      </c>
      <c r="C277" s="49" t="s">
        <v>227</v>
      </c>
      <c r="D277" s="49" t="s">
        <v>513</v>
      </c>
      <c r="E277" s="49" t="s">
        <v>248</v>
      </c>
      <c r="F277" s="49"/>
      <c r="G277" s="49" t="s">
        <v>35</v>
      </c>
      <c r="H277" s="50">
        <v>20000</v>
      </c>
      <c r="I277" s="55">
        <v>4000</v>
      </c>
      <c r="J277" s="49" t="s">
        <v>36</v>
      </c>
      <c r="K277" s="49" t="s">
        <v>37</v>
      </c>
      <c r="L277" s="1"/>
      <c r="M277" s="1">
        <v>4000</v>
      </c>
      <c r="N277" s="1"/>
      <c r="O277" s="1"/>
      <c r="P277" s="1"/>
    </row>
    <row r="278" spans="1:16" ht="15.75" customHeight="1">
      <c r="A278" s="49"/>
      <c r="B278" s="49"/>
      <c r="C278" s="49"/>
      <c r="D278" s="49"/>
      <c r="E278" s="49"/>
      <c r="F278" s="49"/>
      <c r="G278" s="49"/>
      <c r="H278" s="50"/>
      <c r="I278" s="55"/>
      <c r="J278" s="49"/>
      <c r="K278" s="49"/>
      <c r="L278" s="1"/>
      <c r="M278" s="1"/>
      <c r="N278" s="1"/>
      <c r="O278" s="1"/>
      <c r="P278" s="1"/>
    </row>
    <row r="279" spans="1:16" ht="15.75" customHeight="1">
      <c r="A279" s="49"/>
      <c r="B279" s="49"/>
      <c r="C279" s="49"/>
      <c r="D279" s="49"/>
      <c r="E279" s="49"/>
      <c r="F279" s="49"/>
      <c r="G279" s="49"/>
      <c r="H279" s="50"/>
      <c r="I279" s="55"/>
      <c r="J279" s="49"/>
      <c r="K279" s="49"/>
      <c r="L279" s="1"/>
      <c r="M279" s="1"/>
      <c r="N279" s="1"/>
      <c r="O279" s="1"/>
      <c r="P279" s="1"/>
    </row>
    <row r="280" spans="1:16" ht="15.75" customHeight="1">
      <c r="A280" s="49"/>
      <c r="B280" s="49"/>
      <c r="C280" s="49"/>
      <c r="D280" s="49"/>
      <c r="E280" s="49"/>
      <c r="F280" s="49"/>
      <c r="G280" s="49"/>
      <c r="H280" s="50"/>
      <c r="I280" s="55"/>
      <c r="J280" s="49"/>
      <c r="K280" s="49"/>
      <c r="L280" s="1"/>
      <c r="M280" s="1"/>
      <c r="N280" s="1"/>
      <c r="O280" s="1"/>
      <c r="P280" s="1"/>
    </row>
    <row r="281" spans="1:16" ht="15.75" customHeight="1">
      <c r="A281" s="49"/>
      <c r="B281" s="49"/>
      <c r="C281" s="49"/>
      <c r="D281" s="49"/>
      <c r="E281" s="49"/>
      <c r="F281" s="49"/>
      <c r="G281" s="49"/>
      <c r="H281" s="50"/>
      <c r="I281" s="55"/>
      <c r="J281" s="49"/>
      <c r="K281" s="49"/>
      <c r="L281" s="1"/>
      <c r="M281" s="1"/>
      <c r="N281" s="1"/>
      <c r="O281" s="1"/>
      <c r="P281" s="1"/>
    </row>
    <row r="282" spans="1:16" ht="15.75" customHeight="1">
      <c r="A282" s="49"/>
      <c r="B282" s="49"/>
      <c r="C282" s="49"/>
      <c r="D282" s="49"/>
      <c r="E282" s="49"/>
      <c r="F282" s="49"/>
      <c r="G282" s="49"/>
      <c r="H282" s="50"/>
      <c r="I282" s="55"/>
      <c r="J282" s="49"/>
      <c r="K282" s="49"/>
      <c r="L282" s="1"/>
      <c r="M282" s="1"/>
      <c r="N282" s="1"/>
      <c r="O282" s="1"/>
      <c r="P282" s="1"/>
    </row>
    <row r="283" spans="1:16" ht="15.75" customHeight="1">
      <c r="A283" s="49"/>
      <c r="B283" s="49"/>
      <c r="C283" s="49"/>
      <c r="D283" s="49"/>
      <c r="E283" s="49"/>
      <c r="F283" s="49"/>
      <c r="G283" s="49"/>
      <c r="H283" s="50"/>
      <c r="I283" s="55"/>
      <c r="J283" s="49"/>
      <c r="K283" s="49"/>
      <c r="L283" s="1"/>
      <c r="M283" s="1"/>
      <c r="N283" s="1"/>
      <c r="O283" s="1"/>
      <c r="P283" s="1"/>
    </row>
    <row r="284" spans="1:16" ht="15.75" customHeight="1">
      <c r="A284" s="49"/>
      <c r="B284" s="49"/>
      <c r="C284" s="49"/>
      <c r="D284" s="49"/>
      <c r="E284" s="49"/>
      <c r="F284" s="49"/>
      <c r="G284" s="49"/>
      <c r="H284" s="50"/>
      <c r="I284" s="55"/>
      <c r="J284" s="49"/>
      <c r="K284" s="49"/>
      <c r="L284" s="1"/>
      <c r="M284" s="1"/>
      <c r="N284" s="1"/>
      <c r="O284" s="1"/>
      <c r="P284" s="1"/>
    </row>
    <row r="285" spans="1:16" ht="15.75" customHeight="1">
      <c r="A285" s="49"/>
      <c r="B285" s="49"/>
      <c r="C285" s="49"/>
      <c r="D285" s="49"/>
      <c r="E285" s="49"/>
      <c r="F285" s="49"/>
      <c r="G285" s="49"/>
      <c r="H285" s="50"/>
      <c r="I285" s="55"/>
      <c r="J285" s="49"/>
      <c r="K285" s="49"/>
      <c r="L285" s="1"/>
      <c r="M285" s="1"/>
      <c r="N285" s="1"/>
      <c r="O285" s="1"/>
      <c r="P285" s="1"/>
    </row>
    <row r="286" spans="1:16" ht="15.75" customHeight="1">
      <c r="A286" s="49"/>
      <c r="B286" s="49"/>
      <c r="C286" s="49"/>
      <c r="D286" s="49"/>
      <c r="E286" s="49"/>
      <c r="F286" s="49"/>
      <c r="G286" s="49"/>
      <c r="H286" s="50"/>
      <c r="I286" s="55"/>
      <c r="J286" s="49"/>
      <c r="K286" s="49"/>
      <c r="L286" s="1"/>
      <c r="M286" s="1"/>
      <c r="N286" s="1"/>
      <c r="O286" s="1"/>
      <c r="P286" s="1"/>
    </row>
    <row r="287" spans="1:16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1"/>
      <c r="M287" s="1"/>
      <c r="N287" s="1"/>
      <c r="O287" s="1"/>
      <c r="P287" s="1"/>
    </row>
    <row r="288" spans="1:16" ht="15.75" customHeight="1">
      <c r="A288" s="1"/>
      <c r="B288" s="1"/>
      <c r="C288" s="1"/>
      <c r="D288" s="1"/>
      <c r="E288" s="1"/>
      <c r="F288" s="1"/>
      <c r="G288" s="1"/>
      <c r="H288" s="4"/>
      <c r="I288" s="143"/>
      <c r="J288" s="1"/>
      <c r="K288" s="1"/>
      <c r="L288" s="1"/>
      <c r="M288" s="1"/>
      <c r="N288" s="1"/>
      <c r="O288" s="1"/>
      <c r="P288" s="1"/>
    </row>
    <row r="289" spans="1:1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>
      <c r="A290" s="1"/>
      <c r="B290" s="1"/>
      <c r="C290" s="1"/>
      <c r="D290" s="1"/>
      <c r="E290" s="1"/>
      <c r="F290" s="1"/>
      <c r="G290" s="1"/>
      <c r="H290" s="1"/>
      <c r="I290" s="124" t="s">
        <v>53</v>
      </c>
      <c r="J290" s="60"/>
      <c r="K290" s="1"/>
      <c r="L290" s="1"/>
      <c r="M290" s="1"/>
      <c r="N290" s="1"/>
      <c r="O290" s="1"/>
      <c r="P290" s="1"/>
    </row>
    <row r="291" spans="1:16" ht="15.75" customHeight="1">
      <c r="A291" s="1"/>
      <c r="B291" s="1" t="s">
        <v>55</v>
      </c>
      <c r="C291" s="1"/>
      <c r="D291" s="1"/>
      <c r="E291" s="1" t="s">
        <v>56</v>
      </c>
      <c r="F291" s="1"/>
      <c r="G291" s="1"/>
      <c r="H291" s="1"/>
      <c r="I291" s="60" t="s">
        <v>2572</v>
      </c>
      <c r="J291" s="60"/>
      <c r="K291" s="1"/>
      <c r="L291" s="1"/>
      <c r="M291" s="1"/>
      <c r="N291" s="1"/>
      <c r="O291" s="1"/>
      <c r="P291" s="1"/>
    </row>
    <row r="292" spans="1:16" ht="15.75" customHeight="1">
      <c r="A292" s="1"/>
      <c r="B292" s="1"/>
      <c r="C292" s="1"/>
      <c r="D292" s="1"/>
      <c r="E292" s="1"/>
      <c r="F292" s="1"/>
      <c r="G292" s="1"/>
      <c r="H292" s="1"/>
      <c r="I292" s="60" t="s">
        <v>2573</v>
      </c>
      <c r="J292" s="60"/>
      <c r="K292" s="1"/>
      <c r="L292" s="1"/>
      <c r="M292" s="1"/>
      <c r="N292" s="1"/>
      <c r="O292" s="1"/>
      <c r="P292" s="1"/>
    </row>
    <row r="293" spans="1:16" ht="15.75" customHeight="1">
      <c r="A293" s="1"/>
      <c r="B293" s="1"/>
      <c r="C293" s="1"/>
      <c r="D293" s="1"/>
      <c r="E293" s="1"/>
      <c r="F293" s="1"/>
      <c r="G293" s="1"/>
      <c r="H293" s="1"/>
      <c r="I293" s="60" t="s">
        <v>2574</v>
      </c>
      <c r="J293" s="60"/>
      <c r="K293" s="1"/>
      <c r="L293" s="1"/>
      <c r="M293" s="1"/>
      <c r="N293" s="1"/>
      <c r="O293" s="1"/>
      <c r="P293" s="1"/>
    </row>
    <row r="294" spans="1:16" ht="15.75" customHeight="1">
      <c r="A294" s="1"/>
      <c r="B294" s="65" t="s">
        <v>109</v>
      </c>
      <c r="C294" s="1"/>
      <c r="D294" s="1"/>
      <c r="E294" s="65" t="s">
        <v>61</v>
      </c>
      <c r="F294" s="65"/>
      <c r="G294" s="62"/>
      <c r="H294" s="1"/>
      <c r="I294" s="60" t="s">
        <v>2575</v>
      </c>
      <c r="J294" s="60"/>
      <c r="K294" s="1"/>
      <c r="L294" s="1"/>
      <c r="M294" s="1"/>
      <c r="N294" s="1"/>
      <c r="O294" s="1"/>
      <c r="P294" s="1"/>
    </row>
    <row r="295" spans="1:16" ht="15.75" customHeight="1">
      <c r="A295" s="1"/>
      <c r="B295" s="1" t="s">
        <v>110</v>
      </c>
      <c r="C295" s="1"/>
      <c r="D295" s="1"/>
      <c r="E295" s="1" t="s">
        <v>124</v>
      </c>
      <c r="F295" s="1"/>
      <c r="G295" s="1"/>
      <c r="H295" s="1"/>
      <c r="I295" s="60" t="s">
        <v>2576</v>
      </c>
      <c r="J295" s="60"/>
      <c r="K295" s="1"/>
      <c r="L295" s="1"/>
      <c r="M295" s="1"/>
      <c r="N295" s="1"/>
      <c r="O295" s="1"/>
      <c r="P295" s="1"/>
    </row>
    <row r="296" spans="1:16" ht="15.75" customHeight="1">
      <c r="A296" s="1"/>
      <c r="B296" s="1"/>
      <c r="C296" s="1"/>
      <c r="D296" s="1"/>
      <c r="E296" s="1"/>
      <c r="F296" s="1"/>
      <c r="G296" s="1"/>
      <c r="H296" s="1"/>
      <c r="I296" s="60" t="s">
        <v>2577</v>
      </c>
      <c r="J296" s="60"/>
      <c r="K296" s="1"/>
      <c r="L296" s="1"/>
      <c r="M296" s="1"/>
      <c r="N296" s="1"/>
      <c r="O296" s="1"/>
      <c r="P296" s="1"/>
    </row>
    <row r="297" spans="1:16" ht="15.75" customHeight="1">
      <c r="A297" s="1"/>
      <c r="B297" s="1"/>
      <c r="C297" s="1"/>
      <c r="D297" s="1"/>
      <c r="E297" s="1"/>
      <c r="F297" s="1"/>
      <c r="G297" s="1"/>
      <c r="H297" s="1"/>
      <c r="I297" s="60" t="s">
        <v>66</v>
      </c>
      <c r="J297" s="60"/>
      <c r="K297" s="1"/>
      <c r="L297" s="1"/>
      <c r="M297" s="1"/>
      <c r="N297" s="1"/>
      <c r="O297" s="1"/>
      <c r="P297" s="1"/>
    </row>
    <row r="298" spans="1:16" ht="15.75" customHeight="1">
      <c r="A298" s="1"/>
      <c r="B298" s="1"/>
      <c r="C298" s="1"/>
      <c r="D298" s="1"/>
      <c r="E298" s="1"/>
      <c r="F298" s="1"/>
      <c r="G298" s="1"/>
      <c r="H298" s="1"/>
      <c r="I298" s="60" t="s">
        <v>2578</v>
      </c>
      <c r="J298" s="63"/>
      <c r="K298" s="1"/>
      <c r="L298" s="1"/>
      <c r="M298" s="1"/>
      <c r="N298" s="1"/>
      <c r="O298" s="1"/>
      <c r="P298" s="1"/>
    </row>
    <row r="299" spans="1:16" ht="15.75" customHeight="1">
      <c r="A299" s="1"/>
      <c r="B299" s="1"/>
      <c r="C299" s="1"/>
      <c r="D299" s="1"/>
      <c r="E299" s="1"/>
      <c r="F299" s="1"/>
      <c r="G299" s="1"/>
      <c r="H299" s="1"/>
      <c r="I299" s="60" t="s">
        <v>2579</v>
      </c>
      <c r="J299" s="63"/>
      <c r="K299" s="1"/>
      <c r="L299" s="1"/>
      <c r="M299" s="1"/>
      <c r="N299" s="1"/>
      <c r="O299" s="1"/>
      <c r="P299" s="1"/>
    </row>
    <row r="300" spans="1:16" ht="15.75" customHeight="1"/>
    <row r="301" spans="1:16" ht="15.75" customHeight="1"/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spans="3:3" ht="15.75" customHeight="1"/>
    <row r="402" spans="3:3" ht="15.75" customHeight="1"/>
    <row r="403" spans="3:3" ht="15.75" customHeight="1"/>
    <row r="404" spans="3:3" ht="15.75" customHeight="1"/>
    <row r="405" spans="3:3" ht="15.75" customHeight="1"/>
    <row r="406" spans="3:3" ht="15.75" customHeight="1"/>
    <row r="407" spans="3:3" ht="15.75" customHeight="1"/>
    <row r="408" spans="3:3" ht="15.75" customHeight="1"/>
    <row r="409" spans="3:3" ht="15.75" customHeight="1"/>
    <row r="410" spans="3:3" ht="15.75" customHeight="1"/>
    <row r="411" spans="3:3" ht="15.75" customHeight="1"/>
    <row r="412" spans="3:3" ht="15.75" customHeight="1"/>
    <row r="413" spans="3:3" ht="15.75" customHeight="1"/>
    <row r="414" spans="3:3" ht="15.75" customHeight="1"/>
    <row r="415" spans="3:3" ht="15.75" customHeight="1">
      <c r="C415" s="144"/>
    </row>
    <row r="416" spans="3:3" ht="15.75" customHeight="1">
      <c r="C416" s="145"/>
    </row>
    <row r="417" spans="3:15" ht="15.75" customHeight="1"/>
    <row r="418" spans="3:15" ht="15.75" customHeight="1"/>
    <row r="419" spans="3:15" ht="15.75" customHeight="1">
      <c r="C419" s="144"/>
    </row>
    <row r="420" spans="3:15" ht="15.75" customHeight="1"/>
    <row r="421" spans="3:15" ht="15.75" customHeight="1">
      <c r="C421" s="144"/>
    </row>
    <row r="422" spans="3:15" ht="15.75" customHeight="1">
      <c r="C422" s="144"/>
    </row>
    <row r="423" spans="3:15" ht="15.75" customHeight="1">
      <c r="C423" s="144"/>
    </row>
    <row r="424" spans="3:15" ht="15.75" customHeight="1">
      <c r="C424" s="144"/>
    </row>
    <row r="425" spans="3:15" ht="15.75" customHeight="1">
      <c r="C425" s="144"/>
    </row>
    <row r="426" spans="3:15" ht="15.75" customHeight="1">
      <c r="C426" s="144"/>
      <c r="M426" s="144"/>
      <c r="N426" s="144"/>
      <c r="O426" s="61">
        <v>18</v>
      </c>
    </row>
    <row r="427" spans="3:15" ht="15.75" customHeight="1">
      <c r="C427" s="144"/>
      <c r="M427" s="145"/>
      <c r="N427" s="145"/>
      <c r="O427" s="61">
        <v>4</v>
      </c>
    </row>
    <row r="428" spans="3:15" ht="15.75" customHeight="1"/>
    <row r="429" spans="3:15" ht="15.75" customHeight="1">
      <c r="C429" s="145"/>
    </row>
    <row r="430" spans="3:15" ht="15.75" customHeight="1">
      <c r="M430" s="61" t="s">
        <v>2580</v>
      </c>
    </row>
    <row r="431" spans="3:15" ht="15.75" customHeight="1">
      <c r="C431" s="144"/>
    </row>
    <row r="432" spans="3:15" ht="15.75" customHeight="1">
      <c r="C432" s="144"/>
    </row>
    <row r="433" spans="3:3" ht="15.75" customHeight="1"/>
    <row r="434" spans="3:3" ht="15.75" customHeight="1">
      <c r="C434" s="145"/>
    </row>
    <row r="435" spans="3:3" ht="15.75" customHeight="1">
      <c r="C435" s="145"/>
    </row>
    <row r="436" spans="3:3" ht="15.75" customHeight="1">
      <c r="C436" s="144"/>
    </row>
    <row r="437" spans="3:3" ht="15.75" customHeight="1">
      <c r="C437" s="144"/>
    </row>
    <row r="438" spans="3:3" ht="15.75" customHeight="1">
      <c r="C438" s="144"/>
    </row>
    <row r="439" spans="3:3" ht="15.75" customHeight="1">
      <c r="C439" s="144"/>
    </row>
    <row r="440" spans="3:3" ht="15.75" customHeight="1">
      <c r="C440" s="144"/>
    </row>
    <row r="441" spans="3:3" ht="15.75" customHeight="1">
      <c r="C441" s="144"/>
    </row>
    <row r="442" spans="3:3" ht="15.75" customHeight="1">
      <c r="C442" s="144"/>
    </row>
    <row r="443" spans="3:3" ht="15.75" customHeight="1"/>
    <row r="444" spans="3:3" ht="15.75" customHeight="1"/>
    <row r="445" spans="3:3" ht="15.75" customHeight="1"/>
    <row r="446" spans="3:3" ht="15.75" customHeight="1"/>
    <row r="447" spans="3:3" ht="15.75" customHeight="1"/>
    <row r="448" spans="3:3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I4"/>
    <mergeCell ref="C5:G5"/>
    <mergeCell ref="F10:H10"/>
    <mergeCell ref="J10:K10"/>
  </mergeCells>
  <printOptions horizontalCentered="1"/>
  <pageMargins left="0.7" right="0.7" top="0.75" bottom="0.75" header="0" footer="0"/>
  <pageSetup paperSize="5" scale="90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Z1000"/>
  <sheetViews>
    <sheetView topLeftCell="A19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11" customWidth="1"/>
    <col min="11" max="11" width="18.5703125" customWidth="1"/>
    <col min="12" max="12" width="16.28515625" customWidth="1"/>
    <col min="13" max="13" width="10.42578125" customWidth="1"/>
    <col min="14" max="14" width="8.7109375" customWidth="1"/>
    <col min="15" max="15" width="10.5703125" customWidth="1"/>
    <col min="16" max="16" width="11.85546875" customWidth="1"/>
    <col min="17" max="17" width="10.85546875" customWidth="1"/>
    <col min="18" max="18" width="13.140625" customWidth="1"/>
    <col min="19" max="26" width="8.7109375" customWidth="1"/>
  </cols>
  <sheetData>
    <row r="1" spans="1:17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7" ht="18">
      <c r="A2" s="2"/>
      <c r="B2" s="3"/>
      <c r="C2" s="242" t="s">
        <v>2581</v>
      </c>
      <c r="D2" s="241"/>
      <c r="E2" s="241"/>
      <c r="F2" s="241"/>
      <c r="G2" s="241"/>
      <c r="H2" s="70"/>
      <c r="I2" s="71"/>
      <c r="J2" s="72"/>
      <c r="K2" s="6"/>
    </row>
    <row r="3" spans="1:17">
      <c r="A3" s="2"/>
      <c r="B3" s="3"/>
      <c r="C3" s="73"/>
      <c r="D3" s="3"/>
      <c r="E3" s="3"/>
      <c r="G3" s="73"/>
      <c r="H3" s="70"/>
      <c r="I3" s="71"/>
      <c r="J3" s="8" t="s">
        <v>2582</v>
      </c>
      <c r="K3" s="74"/>
    </row>
    <row r="4" spans="1:17">
      <c r="A4" s="2"/>
      <c r="B4" s="3"/>
      <c r="C4" s="73"/>
      <c r="D4" s="3"/>
      <c r="E4" s="3"/>
      <c r="G4" s="73"/>
      <c r="H4" s="70"/>
      <c r="I4" s="75"/>
      <c r="J4" s="69" t="s">
        <v>2583</v>
      </c>
      <c r="K4" s="76"/>
    </row>
    <row r="5" spans="1:17">
      <c r="A5" s="2"/>
      <c r="B5" s="3"/>
      <c r="C5" s="73"/>
      <c r="D5" s="3"/>
      <c r="E5" s="3"/>
      <c r="G5" s="73"/>
      <c r="H5" s="70"/>
      <c r="I5" s="75"/>
      <c r="J5" s="69" t="s">
        <v>2584</v>
      </c>
      <c r="K5" s="76"/>
    </row>
    <row r="6" spans="1:17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16" t="s">
        <v>2585</v>
      </c>
      <c r="K6" s="78"/>
      <c r="L6" s="146"/>
      <c r="M6" s="1"/>
    </row>
    <row r="7" spans="1:17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  <c r="L7" s="146"/>
      <c r="M7" s="1"/>
    </row>
    <row r="8" spans="1:17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  <c r="L8" s="146"/>
      <c r="M8" s="1"/>
    </row>
    <row r="9" spans="1:17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  <c r="L9" s="146"/>
      <c r="M9" s="1"/>
    </row>
    <row r="10" spans="1:17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  <c r="L10" s="146"/>
      <c r="M10" s="1"/>
    </row>
    <row r="11" spans="1:17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146"/>
      <c r="M11" s="1"/>
    </row>
    <row r="12" spans="1:17">
      <c r="A12" s="49">
        <v>4</v>
      </c>
      <c r="B12" s="49" t="s">
        <v>2586</v>
      </c>
      <c r="C12" s="49" t="s">
        <v>227</v>
      </c>
      <c r="D12" s="49" t="s">
        <v>231</v>
      </c>
      <c r="E12" s="49" t="s">
        <v>232</v>
      </c>
      <c r="F12" s="49"/>
      <c r="G12" s="49" t="s">
        <v>35</v>
      </c>
      <c r="H12" s="54">
        <v>8600</v>
      </c>
      <c r="I12" s="55">
        <v>1720</v>
      </c>
      <c r="J12" s="49" t="s">
        <v>36</v>
      </c>
      <c r="K12" s="49" t="s">
        <v>37</v>
      </c>
      <c r="L12" s="146"/>
      <c r="M12" s="147">
        <v>2500</v>
      </c>
      <c r="N12" s="148"/>
      <c r="O12" s="149"/>
      <c r="P12" s="4"/>
      <c r="Q12" s="128"/>
    </row>
    <row r="13" spans="1:17">
      <c r="A13" s="49">
        <v>4</v>
      </c>
      <c r="B13" s="49" t="s">
        <v>2587</v>
      </c>
      <c r="C13" s="49" t="s">
        <v>227</v>
      </c>
      <c r="D13" s="49" t="s">
        <v>260</v>
      </c>
      <c r="E13" s="49" t="s">
        <v>51</v>
      </c>
      <c r="F13" s="49"/>
      <c r="G13" s="49" t="s">
        <v>35</v>
      </c>
      <c r="H13" s="54">
        <v>150</v>
      </c>
      <c r="I13" s="55">
        <v>45</v>
      </c>
      <c r="J13" s="49" t="s">
        <v>36</v>
      </c>
      <c r="K13" s="49" t="s">
        <v>37</v>
      </c>
      <c r="L13" s="146"/>
      <c r="M13" s="147">
        <v>50</v>
      </c>
      <c r="N13" s="148"/>
      <c r="P13" s="1"/>
      <c r="Q13" s="1"/>
    </row>
    <row r="14" spans="1:17">
      <c r="A14" s="49">
        <v>4</v>
      </c>
      <c r="B14" s="49" t="s">
        <v>2530</v>
      </c>
      <c r="C14" s="49" t="s">
        <v>227</v>
      </c>
      <c r="D14" s="49" t="s">
        <v>332</v>
      </c>
      <c r="E14" s="49" t="s">
        <v>193</v>
      </c>
      <c r="F14" s="49"/>
      <c r="G14" s="49" t="s">
        <v>35</v>
      </c>
      <c r="H14" s="54">
        <v>10000</v>
      </c>
      <c r="I14" s="55">
        <v>2000</v>
      </c>
      <c r="J14" s="49" t="s">
        <v>36</v>
      </c>
      <c r="K14" s="49" t="s">
        <v>37</v>
      </c>
      <c r="L14" s="146"/>
      <c r="M14" s="147">
        <v>1000</v>
      </c>
      <c r="N14" s="148"/>
      <c r="O14" s="128"/>
      <c r="P14" s="128"/>
      <c r="Q14" s="1"/>
    </row>
    <row r="15" spans="1:17">
      <c r="A15" s="49">
        <v>4</v>
      </c>
      <c r="B15" s="49" t="s">
        <v>762</v>
      </c>
      <c r="C15" s="49" t="s">
        <v>227</v>
      </c>
      <c r="D15" s="49" t="s">
        <v>763</v>
      </c>
      <c r="E15" s="49" t="s">
        <v>235</v>
      </c>
      <c r="F15" s="49"/>
      <c r="G15" s="49" t="s">
        <v>35</v>
      </c>
      <c r="H15" s="54">
        <v>200</v>
      </c>
      <c r="I15" s="55">
        <v>60</v>
      </c>
      <c r="J15" s="49" t="s">
        <v>36</v>
      </c>
      <c r="K15" s="49" t="s">
        <v>37</v>
      </c>
      <c r="L15" s="146"/>
      <c r="M15" s="147">
        <v>50</v>
      </c>
      <c r="N15" s="148"/>
      <c r="P15" s="1"/>
      <c r="Q15" s="1"/>
    </row>
    <row r="16" spans="1:17">
      <c r="A16" s="49">
        <v>4</v>
      </c>
      <c r="B16" s="49" t="s">
        <v>1529</v>
      </c>
      <c r="C16" s="49" t="s">
        <v>227</v>
      </c>
      <c r="D16" s="49" t="s">
        <v>2588</v>
      </c>
      <c r="E16" s="49" t="s">
        <v>251</v>
      </c>
      <c r="F16" s="49"/>
      <c r="G16" s="49" t="s">
        <v>35</v>
      </c>
      <c r="H16" s="54">
        <v>200</v>
      </c>
      <c r="I16" s="55">
        <v>40</v>
      </c>
      <c r="J16" s="49" t="s">
        <v>36</v>
      </c>
      <c r="K16" s="49" t="s">
        <v>37</v>
      </c>
      <c r="L16" s="146"/>
      <c r="M16" s="147">
        <v>50</v>
      </c>
      <c r="N16" s="148"/>
      <c r="P16" s="150"/>
      <c r="Q16" s="1"/>
    </row>
    <row r="17" spans="1:17">
      <c r="A17" s="49">
        <v>4</v>
      </c>
      <c r="B17" s="49" t="s">
        <v>603</v>
      </c>
      <c r="C17" s="49" t="s">
        <v>227</v>
      </c>
      <c r="D17" s="49" t="s">
        <v>604</v>
      </c>
      <c r="E17" s="49" t="s">
        <v>235</v>
      </c>
      <c r="F17" s="49"/>
      <c r="G17" s="49" t="s">
        <v>2589</v>
      </c>
      <c r="H17" s="54">
        <v>20</v>
      </c>
      <c r="I17" s="55">
        <v>200</v>
      </c>
      <c r="J17" s="49" t="s">
        <v>36</v>
      </c>
      <c r="K17" s="49" t="s">
        <v>37</v>
      </c>
      <c r="L17" s="146"/>
      <c r="M17" s="147"/>
      <c r="N17" s="148"/>
      <c r="P17" s="1"/>
      <c r="Q17" s="1"/>
    </row>
    <row r="18" spans="1:17">
      <c r="A18" s="49">
        <v>4</v>
      </c>
      <c r="B18" s="49" t="s">
        <v>603</v>
      </c>
      <c r="C18" s="49" t="s">
        <v>227</v>
      </c>
      <c r="D18" s="49" t="s">
        <v>604</v>
      </c>
      <c r="E18" s="49" t="s">
        <v>235</v>
      </c>
      <c r="F18" s="49"/>
      <c r="G18" s="49" t="s">
        <v>2590</v>
      </c>
      <c r="H18" s="54">
        <v>20</v>
      </c>
      <c r="I18" s="55">
        <v>60</v>
      </c>
      <c r="J18" s="49" t="s">
        <v>36</v>
      </c>
      <c r="K18" s="49" t="s">
        <v>37</v>
      </c>
      <c r="L18" s="146"/>
      <c r="M18" s="147"/>
      <c r="N18" s="148"/>
    </row>
    <row r="19" spans="1:17">
      <c r="A19" s="49">
        <v>4</v>
      </c>
      <c r="B19" s="49" t="s">
        <v>243</v>
      </c>
      <c r="C19" s="49" t="s">
        <v>227</v>
      </c>
      <c r="D19" s="49" t="s">
        <v>244</v>
      </c>
      <c r="E19" s="49" t="s">
        <v>235</v>
      </c>
      <c r="F19" s="49"/>
      <c r="G19" s="49" t="s">
        <v>35</v>
      </c>
      <c r="H19" s="54">
        <v>400</v>
      </c>
      <c r="I19" s="55">
        <v>80</v>
      </c>
      <c r="J19" s="49" t="s">
        <v>36</v>
      </c>
      <c r="K19" s="49" t="s">
        <v>37</v>
      </c>
      <c r="L19" s="146"/>
      <c r="M19" s="147">
        <v>150</v>
      </c>
      <c r="N19" s="148"/>
    </row>
    <row r="20" spans="1:17">
      <c r="A20" s="49">
        <v>4</v>
      </c>
      <c r="B20" s="49" t="s">
        <v>243</v>
      </c>
      <c r="C20" s="49" t="s">
        <v>227</v>
      </c>
      <c r="D20" s="49" t="s">
        <v>244</v>
      </c>
      <c r="E20" s="49" t="s">
        <v>235</v>
      </c>
      <c r="F20" s="49"/>
      <c r="G20" s="49" t="s">
        <v>2589</v>
      </c>
      <c r="H20" s="54">
        <v>10</v>
      </c>
      <c r="I20" s="55">
        <v>100</v>
      </c>
      <c r="J20" s="49" t="s">
        <v>36</v>
      </c>
      <c r="K20" s="49" t="s">
        <v>37</v>
      </c>
      <c r="L20" s="146"/>
      <c r="M20" s="147"/>
      <c r="N20" s="148"/>
    </row>
    <row r="21" spans="1:17" ht="15.75" customHeight="1">
      <c r="A21" s="49">
        <v>4</v>
      </c>
      <c r="B21" s="49" t="s">
        <v>2591</v>
      </c>
      <c r="C21" s="49" t="s">
        <v>227</v>
      </c>
      <c r="D21" s="49" t="s">
        <v>2592</v>
      </c>
      <c r="E21" s="49" t="s">
        <v>323</v>
      </c>
      <c r="F21" s="49"/>
      <c r="G21" s="49" t="s">
        <v>35</v>
      </c>
      <c r="H21" s="54">
        <v>1500</v>
      </c>
      <c r="I21" s="55">
        <v>300</v>
      </c>
      <c r="J21" s="49" t="s">
        <v>36</v>
      </c>
      <c r="K21" s="49" t="s">
        <v>37</v>
      </c>
      <c r="L21" s="146"/>
      <c r="M21" s="147">
        <v>1000</v>
      </c>
      <c r="N21" s="148"/>
    </row>
    <row r="22" spans="1:17" ht="15.75" customHeight="1">
      <c r="A22" s="49">
        <v>4</v>
      </c>
      <c r="B22" s="49" t="s">
        <v>2593</v>
      </c>
      <c r="C22" s="49" t="s">
        <v>246</v>
      </c>
      <c r="D22" s="49" t="s">
        <v>819</v>
      </c>
      <c r="E22" s="49" t="s">
        <v>235</v>
      </c>
      <c r="F22" s="49"/>
      <c r="G22" s="49" t="s">
        <v>35</v>
      </c>
      <c r="H22" s="54">
        <v>1500</v>
      </c>
      <c r="I22" s="55">
        <v>300</v>
      </c>
      <c r="J22" s="49" t="s">
        <v>36</v>
      </c>
      <c r="K22" s="49" t="s">
        <v>37</v>
      </c>
      <c r="L22" s="146"/>
      <c r="M22" s="147">
        <v>300</v>
      </c>
      <c r="N22" s="148"/>
    </row>
    <row r="23" spans="1:17" ht="15.75" customHeight="1">
      <c r="A23" s="49">
        <v>4</v>
      </c>
      <c r="B23" s="49" t="s">
        <v>2594</v>
      </c>
      <c r="C23" s="49" t="s">
        <v>227</v>
      </c>
      <c r="D23" s="49" t="s">
        <v>32</v>
      </c>
      <c r="E23" s="49" t="s">
        <v>193</v>
      </c>
      <c r="F23" s="49"/>
      <c r="G23" s="49" t="s">
        <v>35</v>
      </c>
      <c r="H23" s="54">
        <v>35000</v>
      </c>
      <c r="I23" s="55">
        <v>7000</v>
      </c>
      <c r="J23" s="49" t="s">
        <v>36</v>
      </c>
      <c r="K23" s="49" t="s">
        <v>37</v>
      </c>
      <c r="L23" s="146"/>
      <c r="M23" s="147">
        <v>15000</v>
      </c>
      <c r="N23" s="148"/>
    </row>
    <row r="24" spans="1:17" ht="15.75" customHeight="1">
      <c r="A24" s="49">
        <v>4</v>
      </c>
      <c r="B24" s="49" t="s">
        <v>650</v>
      </c>
      <c r="C24" s="49" t="s">
        <v>227</v>
      </c>
      <c r="D24" s="49" t="s">
        <v>234</v>
      </c>
      <c r="E24" s="49" t="s">
        <v>235</v>
      </c>
      <c r="F24" s="49"/>
      <c r="G24" s="49" t="s">
        <v>35</v>
      </c>
      <c r="H24" s="54">
        <v>6000</v>
      </c>
      <c r="I24" s="55">
        <v>1200</v>
      </c>
      <c r="J24" s="49" t="s">
        <v>36</v>
      </c>
      <c r="K24" s="49" t="s">
        <v>37</v>
      </c>
      <c r="L24" s="146"/>
      <c r="M24" s="147">
        <v>1200</v>
      </c>
      <c r="N24" s="148"/>
    </row>
    <row r="25" spans="1:17" ht="15.75" customHeight="1">
      <c r="A25" s="49">
        <v>4</v>
      </c>
      <c r="B25" s="49" t="s">
        <v>1738</v>
      </c>
      <c r="C25" s="49" t="s">
        <v>227</v>
      </c>
      <c r="D25" s="49" t="s">
        <v>2595</v>
      </c>
      <c r="E25" s="49" t="s">
        <v>51</v>
      </c>
      <c r="F25" s="49"/>
      <c r="G25" s="49" t="s">
        <v>35</v>
      </c>
      <c r="H25" s="54">
        <v>300</v>
      </c>
      <c r="I25" s="55">
        <v>60</v>
      </c>
      <c r="J25" s="49" t="s">
        <v>36</v>
      </c>
      <c r="K25" s="49" t="s">
        <v>37</v>
      </c>
      <c r="L25" s="146"/>
      <c r="M25" s="147">
        <v>60</v>
      </c>
      <c r="N25" s="148"/>
    </row>
    <row r="26" spans="1:17" ht="15.75" customHeight="1">
      <c r="A26" s="49">
        <v>4</v>
      </c>
      <c r="B26" s="49" t="s">
        <v>2596</v>
      </c>
      <c r="C26" s="49" t="s">
        <v>227</v>
      </c>
      <c r="D26" s="49" t="s">
        <v>32</v>
      </c>
      <c r="E26" s="49" t="s">
        <v>390</v>
      </c>
      <c r="F26" s="49"/>
      <c r="G26" s="49" t="s">
        <v>35</v>
      </c>
      <c r="H26" s="54">
        <v>500</v>
      </c>
      <c r="I26" s="55">
        <v>100</v>
      </c>
      <c r="J26" s="49" t="s">
        <v>36</v>
      </c>
      <c r="K26" s="49" t="s">
        <v>37</v>
      </c>
      <c r="L26" s="146"/>
      <c r="M26" s="147">
        <v>100</v>
      </c>
      <c r="N26" s="148"/>
    </row>
    <row r="27" spans="1:17" ht="15.75" customHeight="1">
      <c r="A27" s="49">
        <v>4</v>
      </c>
      <c r="B27" s="49" t="s">
        <v>2596</v>
      </c>
      <c r="C27" s="49" t="s">
        <v>227</v>
      </c>
      <c r="D27" s="49" t="s">
        <v>32</v>
      </c>
      <c r="E27" s="49" t="s">
        <v>390</v>
      </c>
      <c r="F27" s="49"/>
      <c r="G27" s="49" t="s">
        <v>2589</v>
      </c>
      <c r="H27" s="54">
        <v>50</v>
      </c>
      <c r="I27" s="55">
        <v>500</v>
      </c>
      <c r="J27" s="49" t="s">
        <v>36</v>
      </c>
      <c r="K27" s="49" t="s">
        <v>37</v>
      </c>
      <c r="L27" s="146"/>
      <c r="M27" s="147"/>
      <c r="N27" s="148"/>
    </row>
    <row r="28" spans="1:17" ht="15.75" customHeight="1">
      <c r="A28" s="49">
        <v>4</v>
      </c>
      <c r="B28" s="49" t="s">
        <v>2597</v>
      </c>
      <c r="C28" s="49" t="s">
        <v>227</v>
      </c>
      <c r="D28" s="49" t="s">
        <v>879</v>
      </c>
      <c r="E28" s="49" t="s">
        <v>51</v>
      </c>
      <c r="F28" s="49"/>
      <c r="G28" s="49" t="s">
        <v>35</v>
      </c>
      <c r="H28" s="54">
        <v>150</v>
      </c>
      <c r="I28" s="55">
        <v>30</v>
      </c>
      <c r="J28" s="49" t="s">
        <v>36</v>
      </c>
      <c r="K28" s="49" t="s">
        <v>37</v>
      </c>
      <c r="L28" s="146"/>
      <c r="M28" s="147">
        <v>50</v>
      </c>
      <c r="N28" s="148"/>
    </row>
    <row r="29" spans="1:17" ht="15.75" customHeight="1">
      <c r="A29" s="49">
        <v>4</v>
      </c>
      <c r="B29" s="49" t="s">
        <v>2598</v>
      </c>
      <c r="C29" s="49" t="s">
        <v>227</v>
      </c>
      <c r="D29" s="49" t="s">
        <v>2599</v>
      </c>
      <c r="E29" s="49" t="s">
        <v>241</v>
      </c>
      <c r="F29" s="49"/>
      <c r="G29" s="49" t="s">
        <v>35</v>
      </c>
      <c r="H29" s="54">
        <v>500</v>
      </c>
      <c r="I29" s="55" t="s">
        <v>43</v>
      </c>
      <c r="J29" s="49" t="s">
        <v>36</v>
      </c>
      <c r="K29" s="49" t="s">
        <v>37</v>
      </c>
      <c r="L29" s="146"/>
      <c r="M29" s="147">
        <v>100</v>
      </c>
      <c r="N29" s="148"/>
    </row>
    <row r="30" spans="1:17" ht="15.75" customHeight="1">
      <c r="A30" s="49">
        <v>4</v>
      </c>
      <c r="B30" s="49" t="s">
        <v>2600</v>
      </c>
      <c r="C30" s="49" t="s">
        <v>246</v>
      </c>
      <c r="D30" s="49" t="s">
        <v>2599</v>
      </c>
      <c r="E30" s="49" t="s">
        <v>241</v>
      </c>
      <c r="F30" s="49"/>
      <c r="G30" s="49" t="s">
        <v>35</v>
      </c>
      <c r="H30" s="54">
        <v>500</v>
      </c>
      <c r="I30" s="55" t="s">
        <v>43</v>
      </c>
      <c r="J30" s="49" t="s">
        <v>36</v>
      </c>
      <c r="K30" s="49" t="s">
        <v>37</v>
      </c>
      <c r="L30" s="146"/>
      <c r="M30" s="147">
        <v>100</v>
      </c>
      <c r="N30" s="148"/>
    </row>
    <row r="31" spans="1:17" ht="15.75" customHeight="1">
      <c r="A31" s="49">
        <v>4</v>
      </c>
      <c r="B31" s="49" t="s">
        <v>2601</v>
      </c>
      <c r="C31" s="49" t="s">
        <v>227</v>
      </c>
      <c r="D31" s="49" t="s">
        <v>2602</v>
      </c>
      <c r="E31" s="49" t="s">
        <v>251</v>
      </c>
      <c r="F31" s="49"/>
      <c r="G31" s="49" t="s">
        <v>2603</v>
      </c>
      <c r="H31" s="54">
        <v>30</v>
      </c>
      <c r="I31" s="55">
        <v>90</v>
      </c>
      <c r="J31" s="49" t="s">
        <v>36</v>
      </c>
      <c r="K31" s="49" t="s">
        <v>37</v>
      </c>
      <c r="L31" s="146"/>
      <c r="M31" s="147"/>
      <c r="N31" s="148"/>
    </row>
    <row r="32" spans="1:17" ht="15.75" customHeight="1">
      <c r="A32" s="49">
        <v>4</v>
      </c>
      <c r="B32" s="49" t="s">
        <v>2604</v>
      </c>
      <c r="C32" s="49" t="s">
        <v>227</v>
      </c>
      <c r="D32" s="49" t="s">
        <v>910</v>
      </c>
      <c r="E32" s="49" t="s">
        <v>248</v>
      </c>
      <c r="F32" s="49"/>
      <c r="G32" s="49" t="s">
        <v>35</v>
      </c>
      <c r="H32" s="54">
        <v>200</v>
      </c>
      <c r="I32" s="55">
        <v>40</v>
      </c>
      <c r="J32" s="49" t="s">
        <v>36</v>
      </c>
      <c r="K32" s="49" t="s">
        <v>37</v>
      </c>
      <c r="L32" s="146"/>
      <c r="M32" s="147">
        <v>40</v>
      </c>
      <c r="N32" s="148"/>
    </row>
    <row r="33" spans="1:15" ht="15.75" customHeight="1">
      <c r="A33" s="49">
        <v>4</v>
      </c>
      <c r="B33" s="49" t="s">
        <v>2605</v>
      </c>
      <c r="C33" s="49" t="s">
        <v>246</v>
      </c>
      <c r="D33" s="49" t="s">
        <v>234</v>
      </c>
      <c r="E33" s="49" t="s">
        <v>235</v>
      </c>
      <c r="F33" s="49"/>
      <c r="G33" s="49" t="s">
        <v>35</v>
      </c>
      <c r="H33" s="54">
        <v>3000</v>
      </c>
      <c r="I33" s="55">
        <v>400</v>
      </c>
      <c r="J33" s="49" t="s">
        <v>36</v>
      </c>
      <c r="K33" s="49" t="s">
        <v>37</v>
      </c>
      <c r="L33" s="146"/>
      <c r="M33" s="147">
        <v>400</v>
      </c>
      <c r="N33" s="148"/>
    </row>
    <row r="34" spans="1:15" ht="15.75" customHeight="1">
      <c r="A34" s="49">
        <v>4</v>
      </c>
      <c r="B34" s="49" t="s">
        <v>2606</v>
      </c>
      <c r="C34" s="49" t="s">
        <v>246</v>
      </c>
      <c r="D34" s="49" t="s">
        <v>260</v>
      </c>
      <c r="E34" s="49" t="s">
        <v>51</v>
      </c>
      <c r="F34" s="49"/>
      <c r="G34" s="49" t="s">
        <v>35</v>
      </c>
      <c r="H34" s="54">
        <v>2000</v>
      </c>
      <c r="I34" s="55">
        <v>400</v>
      </c>
      <c r="J34" s="49" t="s">
        <v>36</v>
      </c>
      <c r="K34" s="49" t="s">
        <v>37</v>
      </c>
      <c r="L34" s="146"/>
      <c r="M34" s="147">
        <v>1500</v>
      </c>
      <c r="N34" s="148"/>
    </row>
    <row r="35" spans="1:15" ht="15.75" customHeight="1">
      <c r="A35" s="49">
        <v>4</v>
      </c>
      <c r="B35" s="49" t="s">
        <v>2607</v>
      </c>
      <c r="C35" s="49" t="s">
        <v>227</v>
      </c>
      <c r="D35" s="49" t="s">
        <v>1010</v>
      </c>
      <c r="E35" s="49" t="s">
        <v>251</v>
      </c>
      <c r="F35" s="49"/>
      <c r="G35" s="49" t="s">
        <v>35</v>
      </c>
      <c r="H35" s="54">
        <v>200</v>
      </c>
      <c r="I35" s="55">
        <v>40</v>
      </c>
      <c r="J35" s="49" t="s">
        <v>36</v>
      </c>
      <c r="K35" s="49" t="s">
        <v>37</v>
      </c>
      <c r="L35" s="146"/>
      <c r="M35" s="147">
        <v>50</v>
      </c>
      <c r="N35" s="148"/>
    </row>
    <row r="36" spans="1:15" ht="15.75" customHeight="1">
      <c r="A36" s="49">
        <v>4</v>
      </c>
      <c r="B36" s="49" t="s">
        <v>2607</v>
      </c>
      <c r="C36" s="49" t="s">
        <v>227</v>
      </c>
      <c r="D36" s="49" t="s">
        <v>1010</v>
      </c>
      <c r="E36" s="49" t="s">
        <v>251</v>
      </c>
      <c r="F36" s="49"/>
      <c r="G36" s="49" t="s">
        <v>2589</v>
      </c>
      <c r="H36" s="54">
        <v>10</v>
      </c>
      <c r="I36" s="55">
        <v>200</v>
      </c>
      <c r="J36" s="49" t="s">
        <v>36</v>
      </c>
      <c r="K36" s="49" t="s">
        <v>37</v>
      </c>
      <c r="L36" s="146"/>
      <c r="M36" s="147"/>
      <c r="N36" s="148"/>
    </row>
    <row r="37" spans="1:15" ht="15.75" customHeight="1">
      <c r="A37" s="49">
        <v>4</v>
      </c>
      <c r="B37" s="49" t="s">
        <v>2608</v>
      </c>
      <c r="C37" s="49" t="s">
        <v>227</v>
      </c>
      <c r="D37" s="49"/>
      <c r="E37" s="49" t="s">
        <v>323</v>
      </c>
      <c r="F37" s="49"/>
      <c r="G37" s="49" t="s">
        <v>35</v>
      </c>
      <c r="H37" s="54">
        <v>600</v>
      </c>
      <c r="I37" s="55">
        <v>120</v>
      </c>
      <c r="J37" s="49" t="s">
        <v>36</v>
      </c>
      <c r="K37" s="49" t="s">
        <v>37</v>
      </c>
      <c r="L37" s="146"/>
      <c r="M37" s="147">
        <v>100</v>
      </c>
      <c r="N37" s="148"/>
    </row>
    <row r="38" spans="1:15" ht="15.75" customHeight="1">
      <c r="A38" s="49">
        <v>4</v>
      </c>
      <c r="B38" s="49" t="s">
        <v>2609</v>
      </c>
      <c r="C38" s="49" t="s">
        <v>227</v>
      </c>
      <c r="D38" s="49" t="s">
        <v>247</v>
      </c>
      <c r="E38" s="49" t="s">
        <v>307</v>
      </c>
      <c r="F38" s="49"/>
      <c r="G38" s="49" t="s">
        <v>35</v>
      </c>
      <c r="H38" s="54">
        <v>200</v>
      </c>
      <c r="I38" s="55">
        <v>40</v>
      </c>
      <c r="J38" s="49" t="s">
        <v>36</v>
      </c>
      <c r="K38" s="49" t="s">
        <v>37</v>
      </c>
      <c r="L38" s="146"/>
      <c r="M38" s="147">
        <v>50</v>
      </c>
      <c r="N38" s="148"/>
    </row>
    <row r="39" spans="1:15" ht="15.75" customHeight="1">
      <c r="A39" s="49">
        <v>4</v>
      </c>
      <c r="B39" s="49" t="s">
        <v>2610</v>
      </c>
      <c r="C39" s="49" t="s">
        <v>227</v>
      </c>
      <c r="D39" s="49"/>
      <c r="E39" s="49" t="s">
        <v>41</v>
      </c>
      <c r="F39" s="49"/>
      <c r="G39" s="49" t="s">
        <v>35</v>
      </c>
      <c r="H39" s="54">
        <v>250</v>
      </c>
      <c r="I39" s="55">
        <v>50</v>
      </c>
      <c r="J39" s="49" t="s">
        <v>36</v>
      </c>
      <c r="K39" s="49" t="s">
        <v>37</v>
      </c>
      <c r="L39" s="146"/>
      <c r="M39" s="147">
        <v>50</v>
      </c>
      <c r="N39" s="148"/>
    </row>
    <row r="40" spans="1:15" ht="15.75" customHeight="1">
      <c r="A40" s="49">
        <v>4</v>
      </c>
      <c r="B40" s="49" t="s">
        <v>2611</v>
      </c>
      <c r="C40" s="49" t="s">
        <v>246</v>
      </c>
      <c r="D40" s="49" t="s">
        <v>728</v>
      </c>
      <c r="E40" s="49" t="s">
        <v>184</v>
      </c>
      <c r="F40" s="49"/>
      <c r="G40" s="49" t="s">
        <v>35</v>
      </c>
      <c r="H40" s="54">
        <v>7000</v>
      </c>
      <c r="I40" s="55">
        <v>1400</v>
      </c>
      <c r="J40" s="49" t="s">
        <v>36</v>
      </c>
      <c r="K40" s="49" t="s">
        <v>37</v>
      </c>
      <c r="L40" s="146"/>
      <c r="M40" s="147">
        <v>1500</v>
      </c>
      <c r="N40" s="148"/>
    </row>
    <row r="41" spans="1:15" ht="15.75" customHeight="1">
      <c r="A41" s="101">
        <v>4</v>
      </c>
      <c r="B41" s="101" t="s">
        <v>2612</v>
      </c>
      <c r="C41" s="101" t="s">
        <v>227</v>
      </c>
      <c r="D41" s="101" t="s">
        <v>2613</v>
      </c>
      <c r="E41" s="101" t="s">
        <v>51</v>
      </c>
      <c r="F41" s="101"/>
      <c r="G41" s="101" t="s">
        <v>35</v>
      </c>
      <c r="H41" s="137">
        <v>2000</v>
      </c>
      <c r="I41" s="102">
        <v>400</v>
      </c>
      <c r="J41" s="49" t="s">
        <v>36</v>
      </c>
      <c r="K41" s="49" t="s">
        <v>37</v>
      </c>
      <c r="L41" s="146"/>
      <c r="M41" s="147">
        <v>400</v>
      </c>
      <c r="N41" s="148"/>
    </row>
    <row r="42" spans="1:15" ht="15.75" customHeight="1">
      <c r="A42" s="17">
        <v>5</v>
      </c>
      <c r="B42" s="17" t="s">
        <v>1250</v>
      </c>
      <c r="C42" s="17" t="s">
        <v>246</v>
      </c>
      <c r="D42" s="17" t="s">
        <v>295</v>
      </c>
      <c r="E42" s="17" t="s">
        <v>248</v>
      </c>
      <c r="F42" s="17"/>
      <c r="G42" s="17" t="s">
        <v>35</v>
      </c>
      <c r="H42" s="138">
        <v>1000</v>
      </c>
      <c r="I42" s="105">
        <v>300</v>
      </c>
      <c r="J42" s="49" t="s">
        <v>36</v>
      </c>
      <c r="K42" s="49" t="s">
        <v>37</v>
      </c>
      <c r="L42" s="146"/>
      <c r="M42" s="147">
        <v>200</v>
      </c>
      <c r="N42" s="148"/>
      <c r="O42" s="149"/>
    </row>
    <row r="43" spans="1:15" ht="15.75" customHeight="1">
      <c r="A43" s="49">
        <v>5</v>
      </c>
      <c r="B43" s="49" t="s">
        <v>2614</v>
      </c>
      <c r="C43" s="49" t="s">
        <v>227</v>
      </c>
      <c r="D43" s="49" t="s">
        <v>1092</v>
      </c>
      <c r="E43" s="49" t="s">
        <v>254</v>
      </c>
      <c r="F43" s="49"/>
      <c r="G43" s="49" t="s">
        <v>35</v>
      </c>
      <c r="H43" s="54">
        <v>100</v>
      </c>
      <c r="I43" s="55">
        <v>20</v>
      </c>
      <c r="J43" s="49" t="s">
        <v>36</v>
      </c>
      <c r="K43" s="49" t="s">
        <v>37</v>
      </c>
      <c r="L43" s="146"/>
      <c r="M43" s="147">
        <v>25</v>
      </c>
      <c r="N43" s="148"/>
    </row>
    <row r="44" spans="1:15" ht="15.75" customHeight="1">
      <c r="A44" s="49">
        <v>5</v>
      </c>
      <c r="B44" s="49" t="s">
        <v>2615</v>
      </c>
      <c r="C44" s="49" t="s">
        <v>227</v>
      </c>
      <c r="D44" s="49" t="s">
        <v>385</v>
      </c>
      <c r="E44" s="49" t="s">
        <v>232</v>
      </c>
      <c r="F44" s="49"/>
      <c r="G44" s="49" t="s">
        <v>35</v>
      </c>
      <c r="H44" s="54">
        <v>20000</v>
      </c>
      <c r="I44" s="55">
        <v>4000</v>
      </c>
      <c r="J44" s="49" t="s">
        <v>36</v>
      </c>
      <c r="K44" s="49" t="s">
        <v>37</v>
      </c>
      <c r="L44" s="146"/>
      <c r="M44" s="147">
        <v>4000</v>
      </c>
      <c r="N44" s="148"/>
    </row>
    <row r="45" spans="1:15" ht="15.75" customHeight="1">
      <c r="A45" s="49">
        <v>5</v>
      </c>
      <c r="B45" s="49" t="s">
        <v>2616</v>
      </c>
      <c r="C45" s="49" t="s">
        <v>227</v>
      </c>
      <c r="D45" s="49" t="s">
        <v>292</v>
      </c>
      <c r="E45" s="49" t="s">
        <v>235</v>
      </c>
      <c r="F45" s="49"/>
      <c r="G45" s="49" t="s">
        <v>35</v>
      </c>
      <c r="H45" s="54">
        <v>2000</v>
      </c>
      <c r="I45" s="55">
        <v>400</v>
      </c>
      <c r="J45" s="49" t="s">
        <v>36</v>
      </c>
      <c r="K45" s="49" t="s">
        <v>37</v>
      </c>
      <c r="L45" s="146"/>
      <c r="M45" s="147">
        <v>900</v>
      </c>
      <c r="N45" s="148"/>
    </row>
    <row r="46" spans="1:15" ht="15.75" customHeight="1">
      <c r="A46" s="49">
        <v>5</v>
      </c>
      <c r="B46" s="49" t="s">
        <v>836</v>
      </c>
      <c r="C46" s="49" t="s">
        <v>227</v>
      </c>
      <c r="D46" s="49" t="s">
        <v>288</v>
      </c>
      <c r="E46" s="49" t="s">
        <v>184</v>
      </c>
      <c r="F46" s="49"/>
      <c r="G46" s="49" t="s">
        <v>35</v>
      </c>
      <c r="H46" s="54">
        <v>2500</v>
      </c>
      <c r="I46" s="55">
        <v>500</v>
      </c>
      <c r="J46" s="49" t="s">
        <v>36</v>
      </c>
      <c r="K46" s="49" t="s">
        <v>37</v>
      </c>
      <c r="L46" s="146"/>
      <c r="M46" s="147">
        <v>900</v>
      </c>
      <c r="N46" s="148"/>
    </row>
    <row r="47" spans="1:15" ht="15.75" customHeight="1">
      <c r="A47" s="49">
        <v>5</v>
      </c>
      <c r="B47" s="49" t="s">
        <v>2617</v>
      </c>
      <c r="C47" s="49" t="s">
        <v>227</v>
      </c>
      <c r="D47" s="49" t="s">
        <v>1721</v>
      </c>
      <c r="E47" s="49" t="s">
        <v>193</v>
      </c>
      <c r="F47" s="49"/>
      <c r="G47" s="49" t="s">
        <v>35</v>
      </c>
      <c r="H47" s="54">
        <v>20000</v>
      </c>
      <c r="I47" s="55">
        <v>4000</v>
      </c>
      <c r="J47" s="49" t="s">
        <v>36</v>
      </c>
      <c r="K47" s="49" t="s">
        <v>37</v>
      </c>
      <c r="L47" s="146"/>
      <c r="M47" s="147">
        <v>4000</v>
      </c>
      <c r="N47" s="148"/>
    </row>
    <row r="48" spans="1:15" ht="15.75" customHeight="1">
      <c r="A48" s="49">
        <v>5</v>
      </c>
      <c r="B48" s="49" t="s">
        <v>2618</v>
      </c>
      <c r="C48" s="49" t="s">
        <v>227</v>
      </c>
      <c r="D48" s="49" t="s">
        <v>527</v>
      </c>
      <c r="E48" s="49" t="s">
        <v>164</v>
      </c>
      <c r="F48" s="49"/>
      <c r="G48" s="49" t="s">
        <v>35</v>
      </c>
      <c r="H48" s="54">
        <v>12000</v>
      </c>
      <c r="I48" s="55">
        <v>2400</v>
      </c>
      <c r="J48" s="49" t="s">
        <v>36</v>
      </c>
      <c r="K48" s="49" t="s">
        <v>37</v>
      </c>
      <c r="L48" s="146"/>
      <c r="M48" s="147">
        <v>3000</v>
      </c>
      <c r="N48" s="148"/>
    </row>
    <row r="49" spans="1:17" ht="15.75" customHeight="1">
      <c r="A49" s="49">
        <v>5</v>
      </c>
      <c r="B49" s="49" t="s">
        <v>2619</v>
      </c>
      <c r="C49" s="49" t="s">
        <v>227</v>
      </c>
      <c r="D49" s="49" t="s">
        <v>819</v>
      </c>
      <c r="E49" s="49" t="s">
        <v>232</v>
      </c>
      <c r="F49" s="49"/>
      <c r="G49" s="49" t="s">
        <v>35</v>
      </c>
      <c r="H49" s="54">
        <v>3000</v>
      </c>
      <c r="I49" s="55">
        <v>600</v>
      </c>
      <c r="J49" s="49" t="s">
        <v>36</v>
      </c>
      <c r="K49" s="49" t="s">
        <v>37</v>
      </c>
      <c r="L49" s="146"/>
      <c r="M49" s="147">
        <v>4000</v>
      </c>
      <c r="N49" s="148"/>
    </row>
    <row r="50" spans="1:17" ht="15.75" customHeight="1">
      <c r="A50" s="49">
        <v>5</v>
      </c>
      <c r="B50" s="49" t="s">
        <v>2620</v>
      </c>
      <c r="C50" s="49" t="s">
        <v>227</v>
      </c>
      <c r="D50" s="49" t="s">
        <v>2621</v>
      </c>
      <c r="E50" s="49" t="s">
        <v>152</v>
      </c>
      <c r="F50" s="49"/>
      <c r="G50" s="49" t="s">
        <v>35</v>
      </c>
      <c r="H50" s="49">
        <v>1000</v>
      </c>
      <c r="I50" s="55">
        <v>200</v>
      </c>
      <c r="J50" s="49" t="s">
        <v>36</v>
      </c>
      <c r="K50" s="49" t="s">
        <v>37</v>
      </c>
      <c r="L50" s="146"/>
      <c r="M50" s="147">
        <v>200</v>
      </c>
      <c r="N50" s="148"/>
    </row>
    <row r="51" spans="1:17" ht="15.75" customHeight="1">
      <c r="A51" s="49">
        <v>5</v>
      </c>
      <c r="B51" s="49" t="s">
        <v>2620</v>
      </c>
      <c r="C51" s="49" t="s">
        <v>227</v>
      </c>
      <c r="D51" s="49" t="s">
        <v>2621</v>
      </c>
      <c r="E51" s="49" t="s">
        <v>152</v>
      </c>
      <c r="F51" s="101"/>
      <c r="G51" s="101" t="s">
        <v>2589</v>
      </c>
      <c r="H51" s="101">
        <v>15</v>
      </c>
      <c r="I51" s="102">
        <v>150</v>
      </c>
      <c r="J51" s="49" t="s">
        <v>36</v>
      </c>
      <c r="K51" s="49" t="s">
        <v>37</v>
      </c>
      <c r="L51" s="146"/>
      <c r="M51" s="148"/>
      <c r="N51" s="148"/>
    </row>
    <row r="52" spans="1:17" ht="15.75" customHeight="1">
      <c r="A52" s="17">
        <v>6</v>
      </c>
      <c r="B52" s="17" t="s">
        <v>366</v>
      </c>
      <c r="C52" s="17" t="s">
        <v>227</v>
      </c>
      <c r="D52" s="17" t="s">
        <v>234</v>
      </c>
      <c r="E52" s="17" t="s">
        <v>235</v>
      </c>
      <c r="F52" s="17"/>
      <c r="G52" s="17" t="s">
        <v>35</v>
      </c>
      <c r="H52" s="17">
        <v>700</v>
      </c>
      <c r="I52" s="105">
        <v>140</v>
      </c>
      <c r="J52" s="49" t="s">
        <v>36</v>
      </c>
      <c r="K52" s="49" t="s">
        <v>37</v>
      </c>
      <c r="L52" s="146"/>
      <c r="M52" s="147">
        <v>300</v>
      </c>
      <c r="N52" s="148"/>
      <c r="O52" s="149"/>
      <c r="P52" s="1"/>
      <c r="Q52" s="1"/>
    </row>
    <row r="53" spans="1:17" ht="15.75" customHeight="1">
      <c r="A53" s="49">
        <v>6</v>
      </c>
      <c r="B53" s="49" t="s">
        <v>2622</v>
      </c>
      <c r="C53" s="49" t="s">
        <v>227</v>
      </c>
      <c r="D53" s="49" t="s">
        <v>2623</v>
      </c>
      <c r="E53" s="49" t="s">
        <v>48</v>
      </c>
      <c r="F53" s="49"/>
      <c r="G53" s="49" t="s">
        <v>35</v>
      </c>
      <c r="H53" s="49">
        <v>2000</v>
      </c>
      <c r="I53" s="55">
        <v>400</v>
      </c>
      <c r="J53" s="49" t="s">
        <v>36</v>
      </c>
      <c r="K53" s="49" t="s">
        <v>37</v>
      </c>
      <c r="L53" s="146"/>
      <c r="M53" s="147">
        <v>1000</v>
      </c>
      <c r="N53" s="148"/>
      <c r="O53" s="1"/>
      <c r="P53" s="1"/>
      <c r="Q53" s="1"/>
    </row>
    <row r="54" spans="1:17" ht="15.75" customHeight="1">
      <c r="A54" s="49">
        <v>6</v>
      </c>
      <c r="B54" s="49" t="s">
        <v>2624</v>
      </c>
      <c r="C54" s="49" t="s">
        <v>227</v>
      </c>
      <c r="D54" s="49" t="s">
        <v>947</v>
      </c>
      <c r="E54" s="49" t="s">
        <v>321</v>
      </c>
      <c r="F54" s="49"/>
      <c r="G54" s="49" t="s">
        <v>35</v>
      </c>
      <c r="H54" s="49">
        <v>8000</v>
      </c>
      <c r="I54" s="55">
        <v>1600</v>
      </c>
      <c r="J54" s="49" t="s">
        <v>36</v>
      </c>
      <c r="K54" s="49" t="s">
        <v>37</v>
      </c>
      <c r="L54" s="146"/>
      <c r="M54" s="147">
        <v>2040</v>
      </c>
      <c r="N54" s="148"/>
      <c r="O54" s="1"/>
      <c r="P54" s="1"/>
      <c r="Q54" s="1"/>
    </row>
    <row r="55" spans="1:17" ht="15.75" customHeight="1">
      <c r="A55" s="49">
        <v>6</v>
      </c>
      <c r="B55" s="49" t="s">
        <v>2625</v>
      </c>
      <c r="C55" s="49" t="s">
        <v>227</v>
      </c>
      <c r="D55" s="49" t="s">
        <v>239</v>
      </c>
      <c r="E55" s="49" t="s">
        <v>232</v>
      </c>
      <c r="F55" s="49"/>
      <c r="G55" s="49" t="s">
        <v>35</v>
      </c>
      <c r="H55" s="49">
        <v>2200</v>
      </c>
      <c r="I55" s="55">
        <v>440</v>
      </c>
      <c r="J55" s="49" t="s">
        <v>36</v>
      </c>
      <c r="K55" s="49" t="s">
        <v>37</v>
      </c>
      <c r="L55" s="146"/>
      <c r="M55" s="148"/>
      <c r="N55" s="148"/>
      <c r="O55" s="1"/>
      <c r="P55" s="1"/>
      <c r="Q55" s="1"/>
    </row>
    <row r="56" spans="1:17" ht="15.75" customHeight="1">
      <c r="A56" s="49">
        <v>6</v>
      </c>
      <c r="B56" s="49" t="s">
        <v>2625</v>
      </c>
      <c r="C56" s="49" t="s">
        <v>227</v>
      </c>
      <c r="D56" s="49" t="s">
        <v>239</v>
      </c>
      <c r="E56" s="49" t="s">
        <v>232</v>
      </c>
      <c r="F56" s="49"/>
      <c r="G56" s="49" t="s">
        <v>2589</v>
      </c>
      <c r="H56" s="49">
        <v>10</v>
      </c>
      <c r="I56" s="55">
        <v>100</v>
      </c>
      <c r="J56" s="49" t="s">
        <v>36</v>
      </c>
      <c r="K56" s="49" t="s">
        <v>37</v>
      </c>
      <c r="L56" s="146"/>
      <c r="M56" s="148"/>
      <c r="N56" s="148"/>
      <c r="O56" s="1"/>
      <c r="P56" s="1"/>
      <c r="Q56" s="1"/>
    </row>
    <row r="57" spans="1:17" ht="15.75" customHeight="1">
      <c r="A57" s="49">
        <v>6</v>
      </c>
      <c r="B57" s="49" t="s">
        <v>2626</v>
      </c>
      <c r="C57" s="49" t="s">
        <v>227</v>
      </c>
      <c r="D57" s="49" t="s">
        <v>1841</v>
      </c>
      <c r="E57" s="49" t="s">
        <v>80</v>
      </c>
      <c r="F57" s="49"/>
      <c r="G57" s="49" t="s">
        <v>35</v>
      </c>
      <c r="H57" s="49">
        <v>1200</v>
      </c>
      <c r="I57" s="55" t="s">
        <v>43</v>
      </c>
      <c r="J57" s="49" t="s">
        <v>36</v>
      </c>
      <c r="K57" s="49" t="s">
        <v>37</v>
      </c>
      <c r="L57" s="146"/>
      <c r="M57" s="148">
        <v>1200</v>
      </c>
      <c r="N57" s="148"/>
      <c r="O57" s="1"/>
      <c r="P57" s="1"/>
      <c r="Q57" s="1"/>
    </row>
    <row r="58" spans="1:17" ht="15.75" customHeight="1">
      <c r="A58" s="49">
        <v>6</v>
      </c>
      <c r="B58" s="49" t="s">
        <v>2626</v>
      </c>
      <c r="C58" s="49" t="s">
        <v>227</v>
      </c>
      <c r="D58" s="49" t="s">
        <v>1841</v>
      </c>
      <c r="E58" s="49" t="s">
        <v>80</v>
      </c>
      <c r="F58" s="49"/>
      <c r="G58" s="49" t="s">
        <v>35</v>
      </c>
      <c r="H58" s="49">
        <v>1800</v>
      </c>
      <c r="I58" s="55">
        <v>360</v>
      </c>
      <c r="J58" s="49" t="s">
        <v>36</v>
      </c>
      <c r="K58" s="49" t="s">
        <v>37</v>
      </c>
      <c r="L58" s="146"/>
      <c r="M58" s="148"/>
      <c r="N58" s="148"/>
      <c r="O58" s="1"/>
      <c r="P58" s="1"/>
      <c r="Q58" s="1"/>
    </row>
    <row r="59" spans="1:17" ht="15.75" customHeight="1">
      <c r="A59" s="49">
        <v>6</v>
      </c>
      <c r="B59" s="49" t="s">
        <v>2627</v>
      </c>
      <c r="C59" s="49" t="s">
        <v>227</v>
      </c>
      <c r="D59" s="49" t="s">
        <v>758</v>
      </c>
      <c r="E59" s="49" t="s">
        <v>51</v>
      </c>
      <c r="F59" s="49"/>
      <c r="G59" s="49" t="s">
        <v>35</v>
      </c>
      <c r="H59" s="49">
        <v>450</v>
      </c>
      <c r="I59" s="55">
        <v>90</v>
      </c>
      <c r="J59" s="49" t="s">
        <v>36</v>
      </c>
      <c r="K59" s="49" t="s">
        <v>37</v>
      </c>
      <c r="L59" s="146"/>
      <c r="M59" s="148">
        <v>150</v>
      </c>
      <c r="N59" s="148"/>
      <c r="O59" s="1"/>
      <c r="P59" s="1"/>
      <c r="Q59" s="1"/>
    </row>
    <row r="60" spans="1:17" ht="15.75" customHeight="1">
      <c r="A60" s="49">
        <v>6</v>
      </c>
      <c r="B60" s="49" t="s">
        <v>2628</v>
      </c>
      <c r="C60" s="49" t="s">
        <v>227</v>
      </c>
      <c r="D60" s="49" t="s">
        <v>239</v>
      </c>
      <c r="E60" s="49" t="s">
        <v>51</v>
      </c>
      <c r="F60" s="49"/>
      <c r="G60" s="49" t="s">
        <v>35</v>
      </c>
      <c r="H60" s="49">
        <v>2000</v>
      </c>
      <c r="I60" s="55">
        <v>400</v>
      </c>
      <c r="J60" s="49" t="s">
        <v>36</v>
      </c>
      <c r="K60" s="49" t="s">
        <v>37</v>
      </c>
      <c r="L60" s="146"/>
      <c r="M60" s="148">
        <v>300</v>
      </c>
      <c r="N60" s="148"/>
      <c r="O60" s="1"/>
      <c r="P60" s="1"/>
      <c r="Q60" s="1"/>
    </row>
    <row r="61" spans="1:17" ht="15.75" customHeight="1">
      <c r="A61" s="49">
        <v>6</v>
      </c>
      <c r="B61" s="49" t="s">
        <v>2629</v>
      </c>
      <c r="C61" s="49" t="s">
        <v>227</v>
      </c>
      <c r="D61" s="49" t="s">
        <v>292</v>
      </c>
      <c r="E61" s="49" t="s">
        <v>235</v>
      </c>
      <c r="F61" s="49"/>
      <c r="G61" s="49" t="s">
        <v>35</v>
      </c>
      <c r="H61" s="49">
        <v>500</v>
      </c>
      <c r="I61" s="55">
        <v>100</v>
      </c>
      <c r="J61" s="49" t="s">
        <v>36</v>
      </c>
      <c r="K61" s="49" t="s">
        <v>37</v>
      </c>
      <c r="L61" s="146"/>
      <c r="M61" s="148">
        <v>60</v>
      </c>
      <c r="N61" s="148"/>
      <c r="O61" s="1"/>
      <c r="P61" s="1"/>
      <c r="Q61" s="1"/>
    </row>
    <row r="62" spans="1:17" ht="15.75" customHeight="1">
      <c r="A62" s="101">
        <v>6</v>
      </c>
      <c r="B62" s="101" t="s">
        <v>2630</v>
      </c>
      <c r="C62" s="101" t="s">
        <v>227</v>
      </c>
      <c r="D62" s="101" t="s">
        <v>342</v>
      </c>
      <c r="E62" s="101" t="s">
        <v>307</v>
      </c>
      <c r="F62" s="101"/>
      <c r="G62" s="101" t="s">
        <v>35</v>
      </c>
      <c r="H62" s="101">
        <v>100</v>
      </c>
      <c r="I62" s="102" t="s">
        <v>43</v>
      </c>
      <c r="J62" s="49" t="s">
        <v>36</v>
      </c>
      <c r="K62" s="49" t="s">
        <v>37</v>
      </c>
      <c r="L62" s="146"/>
      <c r="M62" s="148"/>
      <c r="N62" s="148"/>
      <c r="O62" s="1"/>
      <c r="P62" s="1"/>
      <c r="Q62" s="1"/>
    </row>
    <row r="63" spans="1:17" ht="15.75" customHeight="1">
      <c r="A63" s="17">
        <v>7</v>
      </c>
      <c r="B63" s="17" t="s">
        <v>2631</v>
      </c>
      <c r="C63" s="17" t="s">
        <v>227</v>
      </c>
      <c r="D63" s="17" t="s">
        <v>195</v>
      </c>
      <c r="E63" s="17" t="s">
        <v>80</v>
      </c>
      <c r="F63" s="17"/>
      <c r="G63" s="17" t="s">
        <v>35</v>
      </c>
      <c r="H63" s="17">
        <v>1000</v>
      </c>
      <c r="I63" s="105">
        <v>200</v>
      </c>
      <c r="J63" s="49" t="s">
        <v>36</v>
      </c>
      <c r="K63" s="49" t="s">
        <v>37</v>
      </c>
      <c r="L63" s="146"/>
      <c r="M63" s="148">
        <v>200</v>
      </c>
      <c r="N63" s="148"/>
      <c r="O63" s="149"/>
      <c r="P63" s="1"/>
      <c r="Q63" s="1"/>
    </row>
    <row r="64" spans="1:17" ht="15.75" customHeight="1">
      <c r="A64" s="17">
        <v>7</v>
      </c>
      <c r="B64" s="17" t="s">
        <v>2631</v>
      </c>
      <c r="C64" s="17" t="s">
        <v>227</v>
      </c>
      <c r="D64" s="17" t="s">
        <v>195</v>
      </c>
      <c r="E64" s="17" t="s">
        <v>80</v>
      </c>
      <c r="F64" s="49"/>
      <c r="G64" s="49" t="s">
        <v>2589</v>
      </c>
      <c r="H64" s="49">
        <v>20</v>
      </c>
      <c r="I64" s="55">
        <v>200</v>
      </c>
      <c r="J64" s="49" t="s">
        <v>36</v>
      </c>
      <c r="K64" s="49" t="s">
        <v>37</v>
      </c>
      <c r="L64" s="146"/>
      <c r="M64" s="148"/>
      <c r="N64" s="148"/>
      <c r="O64" s="1"/>
      <c r="P64" s="1"/>
      <c r="Q64" s="1"/>
    </row>
    <row r="65" spans="1:17" ht="15.75" customHeight="1">
      <c r="A65" s="49">
        <v>7</v>
      </c>
      <c r="B65" s="49" t="s">
        <v>2632</v>
      </c>
      <c r="C65" s="49" t="s">
        <v>227</v>
      </c>
      <c r="D65" s="49" t="s">
        <v>290</v>
      </c>
      <c r="E65" s="49" t="s">
        <v>232</v>
      </c>
      <c r="F65" s="49"/>
      <c r="G65" s="49" t="s">
        <v>35</v>
      </c>
      <c r="H65" s="49">
        <v>8000</v>
      </c>
      <c r="I65" s="55">
        <v>1600</v>
      </c>
      <c r="J65" s="49" t="s">
        <v>36</v>
      </c>
      <c r="K65" s="49" t="s">
        <v>37</v>
      </c>
      <c r="L65" s="146"/>
      <c r="M65" s="148">
        <v>1600</v>
      </c>
      <c r="N65" s="148"/>
      <c r="O65" s="1"/>
      <c r="P65" s="1"/>
      <c r="Q65" s="1"/>
    </row>
    <row r="66" spans="1:17" ht="15.75" customHeight="1">
      <c r="A66" s="49">
        <v>7</v>
      </c>
      <c r="B66" s="49" t="s">
        <v>2632</v>
      </c>
      <c r="C66" s="49" t="s">
        <v>227</v>
      </c>
      <c r="D66" s="49" t="s">
        <v>290</v>
      </c>
      <c r="E66" s="49" t="s">
        <v>232</v>
      </c>
      <c r="F66" s="49"/>
      <c r="G66" s="49" t="s">
        <v>2589</v>
      </c>
      <c r="H66" s="49">
        <v>50</v>
      </c>
      <c r="I66" s="55">
        <v>30</v>
      </c>
      <c r="J66" s="49" t="s">
        <v>36</v>
      </c>
      <c r="K66" s="49" t="s">
        <v>37</v>
      </c>
      <c r="L66" s="146"/>
      <c r="M66" s="148"/>
      <c r="N66" s="148"/>
      <c r="O66" s="1"/>
      <c r="P66" s="1"/>
      <c r="Q66" s="1"/>
    </row>
    <row r="67" spans="1:17" ht="15.75" customHeight="1">
      <c r="A67" s="49">
        <v>7</v>
      </c>
      <c r="B67" s="49" t="s">
        <v>2633</v>
      </c>
      <c r="C67" s="49" t="s">
        <v>227</v>
      </c>
      <c r="D67" s="49" t="s">
        <v>833</v>
      </c>
      <c r="E67" s="49" t="s">
        <v>48</v>
      </c>
      <c r="F67" s="49"/>
      <c r="G67" s="49" t="s">
        <v>35</v>
      </c>
      <c r="H67" s="49">
        <v>200</v>
      </c>
      <c r="I67" s="55">
        <v>40</v>
      </c>
      <c r="J67" s="49" t="s">
        <v>36</v>
      </c>
      <c r="K67" s="49" t="s">
        <v>37</v>
      </c>
      <c r="L67" s="146"/>
      <c r="M67" s="148">
        <v>40</v>
      </c>
      <c r="N67" s="148"/>
      <c r="O67" s="1"/>
      <c r="P67" s="1"/>
      <c r="Q67" s="1"/>
    </row>
    <row r="68" spans="1:17" ht="15.75" customHeight="1">
      <c r="A68" s="49">
        <v>7</v>
      </c>
      <c r="B68" s="49" t="s">
        <v>2633</v>
      </c>
      <c r="C68" s="49" t="s">
        <v>227</v>
      </c>
      <c r="D68" s="49" t="s">
        <v>833</v>
      </c>
      <c r="E68" s="49" t="s">
        <v>48</v>
      </c>
      <c r="F68" s="49"/>
      <c r="G68" s="49" t="s">
        <v>170</v>
      </c>
      <c r="H68" s="49">
        <v>200</v>
      </c>
      <c r="I68" s="55">
        <v>120</v>
      </c>
      <c r="J68" s="49" t="s">
        <v>36</v>
      </c>
      <c r="K68" s="49" t="s">
        <v>37</v>
      </c>
      <c r="L68" s="146"/>
      <c r="M68" s="148"/>
      <c r="N68" s="148"/>
      <c r="O68" s="1"/>
      <c r="P68" s="1"/>
      <c r="Q68" s="1"/>
    </row>
    <row r="69" spans="1:17" ht="15.75" customHeight="1">
      <c r="A69" s="49">
        <v>7</v>
      </c>
      <c r="B69" s="49" t="s">
        <v>2633</v>
      </c>
      <c r="C69" s="49" t="s">
        <v>227</v>
      </c>
      <c r="D69" s="49" t="s">
        <v>833</v>
      </c>
      <c r="E69" s="49" t="s">
        <v>48</v>
      </c>
      <c r="F69" s="49"/>
      <c r="G69" s="49" t="s">
        <v>2589</v>
      </c>
      <c r="H69" s="49">
        <v>30</v>
      </c>
      <c r="I69" s="55">
        <v>300</v>
      </c>
      <c r="J69" s="49" t="s">
        <v>36</v>
      </c>
      <c r="K69" s="49" t="s">
        <v>37</v>
      </c>
      <c r="L69" s="146"/>
      <c r="M69" s="148"/>
      <c r="N69" s="148"/>
      <c r="O69" s="1"/>
      <c r="P69" s="1"/>
      <c r="Q69" s="1"/>
    </row>
    <row r="70" spans="1:17" ht="15.75" customHeight="1">
      <c r="A70" s="49">
        <v>7</v>
      </c>
      <c r="B70" s="49" t="s">
        <v>2634</v>
      </c>
      <c r="C70" s="49" t="s">
        <v>227</v>
      </c>
      <c r="D70" s="49" t="s">
        <v>2635</v>
      </c>
      <c r="E70" s="49" t="s">
        <v>251</v>
      </c>
      <c r="F70" s="49"/>
      <c r="G70" s="49" t="s">
        <v>2589</v>
      </c>
      <c r="H70" s="49">
        <v>25</v>
      </c>
      <c r="I70" s="55">
        <v>250</v>
      </c>
      <c r="J70" s="49" t="s">
        <v>36</v>
      </c>
      <c r="K70" s="49" t="s">
        <v>37</v>
      </c>
      <c r="L70" s="146"/>
      <c r="M70" s="148"/>
      <c r="N70" s="148"/>
      <c r="O70" s="1"/>
      <c r="P70" s="1"/>
      <c r="Q70" s="1"/>
    </row>
    <row r="71" spans="1:17" ht="15.75" customHeight="1">
      <c r="A71" s="49">
        <v>7</v>
      </c>
      <c r="B71" s="49" t="s">
        <v>2634</v>
      </c>
      <c r="C71" s="49" t="s">
        <v>227</v>
      </c>
      <c r="D71" s="49" t="s">
        <v>2635</v>
      </c>
      <c r="E71" s="49" t="s">
        <v>251</v>
      </c>
      <c r="F71" s="49"/>
      <c r="G71" s="49" t="s">
        <v>2603</v>
      </c>
      <c r="H71" s="49">
        <v>15</v>
      </c>
      <c r="I71" s="55">
        <v>45</v>
      </c>
      <c r="J71" s="49" t="s">
        <v>36</v>
      </c>
      <c r="K71" s="49" t="s">
        <v>37</v>
      </c>
      <c r="L71" s="146"/>
      <c r="M71" s="148"/>
      <c r="N71" s="148"/>
      <c r="O71" s="1"/>
      <c r="P71" s="1"/>
      <c r="Q71" s="1"/>
    </row>
    <row r="72" spans="1:17" ht="15.75" customHeight="1">
      <c r="A72" s="49">
        <v>7</v>
      </c>
      <c r="B72" s="49" t="s">
        <v>2636</v>
      </c>
      <c r="C72" s="49" t="s">
        <v>227</v>
      </c>
      <c r="D72" s="49" t="s">
        <v>262</v>
      </c>
      <c r="E72" s="49" t="s">
        <v>232</v>
      </c>
      <c r="F72" s="49"/>
      <c r="G72" s="49" t="s">
        <v>35</v>
      </c>
      <c r="H72" s="49">
        <v>1300</v>
      </c>
      <c r="I72" s="55">
        <v>260</v>
      </c>
      <c r="J72" s="49" t="s">
        <v>36</v>
      </c>
      <c r="K72" s="49" t="s">
        <v>37</v>
      </c>
      <c r="L72" s="146"/>
      <c r="M72" s="148">
        <v>300</v>
      </c>
      <c r="N72" s="148"/>
      <c r="O72" s="1"/>
      <c r="P72" s="1"/>
      <c r="Q72" s="1"/>
    </row>
    <row r="73" spans="1:17" ht="15.75" customHeight="1">
      <c r="A73" s="49">
        <v>7</v>
      </c>
      <c r="B73" s="49" t="s">
        <v>2637</v>
      </c>
      <c r="C73" s="49" t="s">
        <v>246</v>
      </c>
      <c r="D73" s="49" t="s">
        <v>556</v>
      </c>
      <c r="E73" s="49" t="s">
        <v>232</v>
      </c>
      <c r="F73" s="49"/>
      <c r="G73" s="49" t="s">
        <v>35</v>
      </c>
      <c r="H73" s="49">
        <v>500</v>
      </c>
      <c r="I73" s="55" t="s">
        <v>43</v>
      </c>
      <c r="J73" s="49" t="s">
        <v>36</v>
      </c>
      <c r="K73" s="49" t="s">
        <v>37</v>
      </c>
      <c r="L73" s="146"/>
      <c r="M73" s="148">
        <v>600</v>
      </c>
      <c r="N73" s="148"/>
      <c r="O73" s="1"/>
      <c r="P73" s="1"/>
      <c r="Q73" s="1"/>
    </row>
    <row r="74" spans="1:17" ht="15.75" customHeight="1">
      <c r="A74" s="49">
        <v>7</v>
      </c>
      <c r="B74" s="49" t="s">
        <v>2637</v>
      </c>
      <c r="C74" s="49" t="s">
        <v>246</v>
      </c>
      <c r="D74" s="49" t="s">
        <v>556</v>
      </c>
      <c r="E74" s="49" t="s">
        <v>232</v>
      </c>
      <c r="F74" s="49"/>
      <c r="G74" s="49"/>
      <c r="H74" s="49">
        <v>3000</v>
      </c>
      <c r="I74" s="55">
        <v>600</v>
      </c>
      <c r="J74" s="49" t="s">
        <v>36</v>
      </c>
      <c r="K74" s="49" t="s">
        <v>37</v>
      </c>
      <c r="L74" s="146"/>
      <c r="M74" s="148"/>
      <c r="N74" s="148"/>
      <c r="O74" s="1"/>
      <c r="P74" s="1"/>
      <c r="Q74" s="1"/>
    </row>
    <row r="75" spans="1:17" ht="15.75" customHeight="1">
      <c r="A75" s="49">
        <v>7</v>
      </c>
      <c r="B75" s="49" t="s">
        <v>2637</v>
      </c>
      <c r="C75" s="49" t="s">
        <v>246</v>
      </c>
      <c r="D75" s="49" t="s">
        <v>556</v>
      </c>
      <c r="E75" s="49" t="s">
        <v>232</v>
      </c>
      <c r="F75" s="49"/>
      <c r="G75" s="49" t="s">
        <v>2589</v>
      </c>
      <c r="H75" s="49">
        <v>30</v>
      </c>
      <c r="I75" s="55">
        <v>300</v>
      </c>
      <c r="J75" s="49" t="s">
        <v>36</v>
      </c>
      <c r="K75" s="49" t="s">
        <v>37</v>
      </c>
      <c r="L75" s="146"/>
      <c r="M75" s="148"/>
      <c r="N75" s="148"/>
      <c r="O75" s="4"/>
      <c r="P75" s="1"/>
      <c r="Q75" s="1"/>
    </row>
    <row r="76" spans="1:17" ht="15.75" customHeight="1">
      <c r="A76" s="49">
        <v>7</v>
      </c>
      <c r="B76" s="49" t="s">
        <v>2638</v>
      </c>
      <c r="C76" s="49" t="s">
        <v>227</v>
      </c>
      <c r="D76" s="49" t="s">
        <v>556</v>
      </c>
      <c r="E76" s="49" t="s">
        <v>232</v>
      </c>
      <c r="F76" s="49"/>
      <c r="G76" s="49" t="s">
        <v>35</v>
      </c>
      <c r="H76" s="49">
        <v>500</v>
      </c>
      <c r="I76" s="55" t="s">
        <v>43</v>
      </c>
      <c r="J76" s="49" t="s">
        <v>36</v>
      </c>
      <c r="K76" s="49" t="s">
        <v>37</v>
      </c>
      <c r="L76" s="146"/>
      <c r="M76" s="148">
        <v>400</v>
      </c>
      <c r="N76" s="148"/>
      <c r="O76" s="1"/>
      <c r="P76" s="1"/>
      <c r="Q76" s="1"/>
    </row>
    <row r="77" spans="1:17" ht="15.75" customHeight="1">
      <c r="A77" s="49">
        <v>7</v>
      </c>
      <c r="B77" s="49" t="s">
        <v>2639</v>
      </c>
      <c r="C77" s="49" t="s">
        <v>227</v>
      </c>
      <c r="D77" s="49" t="s">
        <v>556</v>
      </c>
      <c r="E77" s="49" t="s">
        <v>232</v>
      </c>
      <c r="F77" s="49"/>
      <c r="G77" s="49" t="s">
        <v>35</v>
      </c>
      <c r="H77" s="49">
        <v>500</v>
      </c>
      <c r="I77" s="55" t="s">
        <v>43</v>
      </c>
      <c r="J77" s="49" t="s">
        <v>36</v>
      </c>
      <c r="K77" s="49" t="s">
        <v>37</v>
      </c>
      <c r="L77" s="146"/>
      <c r="M77" s="148">
        <v>600</v>
      </c>
      <c r="N77" s="148"/>
      <c r="O77" s="1"/>
      <c r="P77" s="1"/>
      <c r="Q77" s="1"/>
    </row>
    <row r="78" spans="1:17" ht="15.75" customHeight="1">
      <c r="A78" s="101">
        <v>7</v>
      </c>
      <c r="B78" s="101" t="s">
        <v>2640</v>
      </c>
      <c r="C78" s="101" t="s">
        <v>227</v>
      </c>
      <c r="D78" s="101" t="s">
        <v>556</v>
      </c>
      <c r="E78" s="101" t="s">
        <v>232</v>
      </c>
      <c r="F78" s="101"/>
      <c r="G78" s="101" t="s">
        <v>35</v>
      </c>
      <c r="H78" s="101">
        <v>500</v>
      </c>
      <c r="I78" s="102" t="s">
        <v>43</v>
      </c>
      <c r="J78" s="49" t="s">
        <v>36</v>
      </c>
      <c r="K78" s="49" t="s">
        <v>37</v>
      </c>
      <c r="L78" s="146"/>
      <c r="M78" s="148">
        <v>100</v>
      </c>
      <c r="N78" s="148"/>
      <c r="O78" s="1"/>
      <c r="P78" s="1"/>
      <c r="Q78" s="1"/>
    </row>
    <row r="79" spans="1:17" ht="15.75" customHeight="1">
      <c r="A79" s="17">
        <v>11</v>
      </c>
      <c r="B79" s="17" t="s">
        <v>2641</v>
      </c>
      <c r="C79" s="17" t="s">
        <v>227</v>
      </c>
      <c r="D79" s="17" t="s">
        <v>32</v>
      </c>
      <c r="E79" s="17" t="s">
        <v>33</v>
      </c>
      <c r="F79" s="17"/>
      <c r="G79" s="17" t="s">
        <v>35</v>
      </c>
      <c r="H79" s="17">
        <v>500</v>
      </c>
      <c r="I79" s="105">
        <v>200</v>
      </c>
      <c r="J79" s="49" t="s">
        <v>36</v>
      </c>
      <c r="K79" s="49" t="s">
        <v>37</v>
      </c>
      <c r="L79" s="146"/>
      <c r="M79" s="148">
        <v>360</v>
      </c>
      <c r="N79" s="148"/>
      <c r="O79" s="151"/>
      <c r="P79" s="1"/>
      <c r="Q79" s="1"/>
    </row>
    <row r="80" spans="1:17" ht="15.75" customHeight="1">
      <c r="A80" s="49">
        <v>11</v>
      </c>
      <c r="B80" s="49" t="s">
        <v>2642</v>
      </c>
      <c r="C80" s="49" t="s">
        <v>227</v>
      </c>
      <c r="D80" s="49" t="s">
        <v>2026</v>
      </c>
      <c r="E80" s="49" t="s">
        <v>2643</v>
      </c>
      <c r="F80" s="49"/>
      <c r="G80" s="49" t="s">
        <v>35</v>
      </c>
      <c r="H80" s="50">
        <v>600</v>
      </c>
      <c r="I80" s="55">
        <v>120</v>
      </c>
      <c r="J80" s="49" t="s">
        <v>36</v>
      </c>
      <c r="K80" s="49" t="s">
        <v>37</v>
      </c>
      <c r="L80" s="146"/>
      <c r="M80" s="148"/>
      <c r="N80" s="148"/>
      <c r="O80" s="151"/>
      <c r="P80" s="1"/>
      <c r="Q80" s="1"/>
    </row>
    <row r="81" spans="1:26" ht="15.75" customHeight="1">
      <c r="A81" s="49">
        <v>11</v>
      </c>
      <c r="B81" s="49" t="s">
        <v>2644</v>
      </c>
      <c r="C81" s="49" t="s">
        <v>227</v>
      </c>
      <c r="D81" s="49" t="s">
        <v>32</v>
      </c>
      <c r="E81" s="49" t="s">
        <v>51</v>
      </c>
      <c r="F81" s="49"/>
      <c r="G81" s="49" t="s">
        <v>35</v>
      </c>
      <c r="H81" s="49">
        <v>200</v>
      </c>
      <c r="I81" s="55">
        <v>40</v>
      </c>
      <c r="J81" s="49" t="s">
        <v>36</v>
      </c>
      <c r="K81" s="49" t="s">
        <v>37</v>
      </c>
      <c r="L81" s="146"/>
      <c r="M81" s="148"/>
      <c r="N81" s="148"/>
      <c r="O81" s="1"/>
      <c r="P81" s="1"/>
      <c r="Q81" s="1"/>
    </row>
    <row r="82" spans="1:26" ht="15.75" customHeight="1">
      <c r="A82" s="49">
        <v>11</v>
      </c>
      <c r="B82" s="49" t="s">
        <v>2645</v>
      </c>
      <c r="C82" s="49" t="s">
        <v>227</v>
      </c>
      <c r="D82" s="49" t="s">
        <v>1215</v>
      </c>
      <c r="E82" s="49" t="s">
        <v>232</v>
      </c>
      <c r="F82" s="49"/>
      <c r="G82" s="49" t="s">
        <v>35</v>
      </c>
      <c r="H82" s="49">
        <v>300</v>
      </c>
      <c r="I82" s="55">
        <v>60</v>
      </c>
      <c r="J82" s="49" t="s">
        <v>36</v>
      </c>
      <c r="K82" s="49" t="s">
        <v>37</v>
      </c>
      <c r="L82" s="146"/>
      <c r="M82" s="148"/>
      <c r="N82" s="148"/>
      <c r="O82" s="1"/>
      <c r="P82" s="1"/>
      <c r="Q82" s="1"/>
    </row>
    <row r="83" spans="1:26" ht="15.75" customHeight="1">
      <c r="A83" s="49">
        <v>11</v>
      </c>
      <c r="B83" s="49" t="s">
        <v>2646</v>
      </c>
      <c r="C83" s="49" t="s">
        <v>227</v>
      </c>
      <c r="D83" s="49" t="s">
        <v>719</v>
      </c>
      <c r="E83" s="49" t="s">
        <v>254</v>
      </c>
      <c r="F83" s="49"/>
      <c r="G83" s="49" t="s">
        <v>35</v>
      </c>
      <c r="H83" s="49">
        <v>200</v>
      </c>
      <c r="I83" s="55">
        <v>40</v>
      </c>
      <c r="J83" s="49" t="s">
        <v>36</v>
      </c>
      <c r="K83" s="49" t="s">
        <v>37</v>
      </c>
      <c r="L83" s="146"/>
      <c r="M83" s="148"/>
      <c r="N83" s="148"/>
      <c r="O83" s="1"/>
      <c r="P83" s="1"/>
      <c r="Q83" s="1"/>
    </row>
    <row r="84" spans="1:26" ht="15.75" customHeight="1">
      <c r="A84" s="49">
        <v>11</v>
      </c>
      <c r="B84" s="49" t="s">
        <v>2646</v>
      </c>
      <c r="C84" s="49" t="s">
        <v>227</v>
      </c>
      <c r="D84" s="49" t="s">
        <v>719</v>
      </c>
      <c r="E84" s="49" t="s">
        <v>254</v>
      </c>
      <c r="F84" s="49"/>
      <c r="G84" s="49" t="s">
        <v>170</v>
      </c>
      <c r="H84" s="49">
        <v>100</v>
      </c>
      <c r="I84" s="55">
        <v>60</v>
      </c>
      <c r="J84" s="49" t="s">
        <v>36</v>
      </c>
      <c r="K84" s="49" t="s">
        <v>37</v>
      </c>
      <c r="L84" s="146"/>
      <c r="M84" s="148"/>
      <c r="N84" s="148"/>
      <c r="O84" s="1"/>
      <c r="P84" s="1"/>
      <c r="Q84" s="1"/>
    </row>
    <row r="85" spans="1:26" ht="15.75" customHeight="1">
      <c r="A85" s="49">
        <v>11</v>
      </c>
      <c r="B85" s="49" t="s">
        <v>2647</v>
      </c>
      <c r="C85" s="49" t="s">
        <v>227</v>
      </c>
      <c r="D85" s="49" t="s">
        <v>1042</v>
      </c>
      <c r="E85" s="49" t="s">
        <v>251</v>
      </c>
      <c r="F85" s="49"/>
      <c r="G85" s="49" t="s">
        <v>35</v>
      </c>
      <c r="H85" s="49">
        <v>1000</v>
      </c>
      <c r="I85" s="55">
        <v>200</v>
      </c>
      <c r="J85" s="49" t="s">
        <v>36</v>
      </c>
      <c r="K85" s="49" t="s">
        <v>37</v>
      </c>
      <c r="L85" s="146"/>
      <c r="M85" s="148">
        <v>300</v>
      </c>
      <c r="N85" s="148"/>
      <c r="O85" s="1"/>
      <c r="P85" s="1"/>
      <c r="Q85" s="1"/>
    </row>
    <row r="86" spans="1:26" ht="15.75" customHeight="1">
      <c r="A86" s="49">
        <v>11</v>
      </c>
      <c r="B86" s="49" t="s">
        <v>627</v>
      </c>
      <c r="C86" s="49" t="s">
        <v>227</v>
      </c>
      <c r="D86" s="49" t="s">
        <v>33</v>
      </c>
      <c r="E86" s="49" t="s">
        <v>307</v>
      </c>
      <c r="F86" s="49"/>
      <c r="G86" s="49" t="s">
        <v>35</v>
      </c>
      <c r="H86" s="49">
        <v>200</v>
      </c>
      <c r="I86" s="55">
        <v>40</v>
      </c>
      <c r="J86" s="49" t="s">
        <v>36</v>
      </c>
      <c r="K86" s="49" t="s">
        <v>37</v>
      </c>
      <c r="L86" s="146"/>
      <c r="M86" s="148">
        <v>40</v>
      </c>
      <c r="N86" s="148"/>
      <c r="O86" s="1"/>
      <c r="P86" s="1"/>
      <c r="Q86" s="1"/>
    </row>
    <row r="87" spans="1:26" ht="15.75" customHeight="1">
      <c r="A87" s="49">
        <v>11</v>
      </c>
      <c r="B87" s="49" t="s">
        <v>627</v>
      </c>
      <c r="C87" s="49" t="s">
        <v>227</v>
      </c>
      <c r="D87" s="49" t="s">
        <v>33</v>
      </c>
      <c r="E87" s="49" t="s">
        <v>307</v>
      </c>
      <c r="F87" s="49"/>
      <c r="G87" s="49" t="s">
        <v>170</v>
      </c>
      <c r="H87" s="50">
        <v>100</v>
      </c>
      <c r="I87" s="55">
        <v>60</v>
      </c>
      <c r="J87" s="49" t="s">
        <v>36</v>
      </c>
      <c r="K87" s="49" t="s">
        <v>37</v>
      </c>
      <c r="L87" s="146"/>
      <c r="M87" s="148"/>
      <c r="N87" s="148"/>
      <c r="O87" s="1"/>
      <c r="P87" s="1"/>
      <c r="Q87" s="1"/>
    </row>
    <row r="88" spans="1:26" ht="15.75" customHeight="1">
      <c r="A88" s="49">
        <v>11</v>
      </c>
      <c r="B88" s="49" t="s">
        <v>2648</v>
      </c>
      <c r="C88" s="49" t="s">
        <v>227</v>
      </c>
      <c r="D88" s="49" t="s">
        <v>2649</v>
      </c>
      <c r="E88" s="49" t="s">
        <v>137</v>
      </c>
      <c r="F88" s="49"/>
      <c r="G88" s="49" t="s">
        <v>35</v>
      </c>
      <c r="H88" s="49">
        <v>3000</v>
      </c>
      <c r="I88" s="55">
        <v>1200</v>
      </c>
      <c r="J88" s="49" t="s">
        <v>36</v>
      </c>
      <c r="K88" s="49" t="s">
        <v>37</v>
      </c>
      <c r="L88" s="146"/>
      <c r="M88" s="148">
        <v>2500</v>
      </c>
      <c r="N88" s="148"/>
      <c r="O88" s="1"/>
      <c r="P88" s="1"/>
      <c r="Q88" s="1"/>
    </row>
    <row r="89" spans="1:26" ht="15.75" customHeight="1">
      <c r="A89" s="49">
        <v>11</v>
      </c>
      <c r="B89" s="49" t="s">
        <v>2650</v>
      </c>
      <c r="C89" s="49" t="s">
        <v>246</v>
      </c>
      <c r="D89" s="49" t="s">
        <v>2651</v>
      </c>
      <c r="E89" s="49" t="s">
        <v>80</v>
      </c>
      <c r="F89" s="49"/>
      <c r="G89" s="49" t="s">
        <v>35</v>
      </c>
      <c r="H89" s="49">
        <v>1000</v>
      </c>
      <c r="I89" s="55">
        <v>400</v>
      </c>
      <c r="J89" s="49" t="s">
        <v>36</v>
      </c>
      <c r="K89" s="49" t="s">
        <v>37</v>
      </c>
      <c r="L89" s="152"/>
      <c r="M89" s="148">
        <v>300</v>
      </c>
      <c r="N89" s="148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spans="1:26" ht="15.75" customHeight="1">
      <c r="A90" s="49">
        <v>11</v>
      </c>
      <c r="B90" s="49" t="s">
        <v>2652</v>
      </c>
      <c r="C90" s="49" t="s">
        <v>227</v>
      </c>
      <c r="D90" s="49" t="s">
        <v>295</v>
      </c>
      <c r="E90" s="49" t="s">
        <v>248</v>
      </c>
      <c r="F90" s="49"/>
      <c r="G90" s="49" t="s">
        <v>35</v>
      </c>
      <c r="H90" s="50">
        <v>500</v>
      </c>
      <c r="I90" s="55">
        <v>100</v>
      </c>
      <c r="J90" s="49" t="s">
        <v>36</v>
      </c>
      <c r="K90" s="49" t="s">
        <v>37</v>
      </c>
      <c r="L90" s="146"/>
      <c r="M90" s="148">
        <v>100</v>
      </c>
      <c r="N90" s="148"/>
      <c r="O90" s="1"/>
      <c r="P90" s="1"/>
      <c r="Q90" s="1"/>
    </row>
    <row r="91" spans="1:26" ht="15.75" customHeight="1">
      <c r="A91" s="49">
        <v>11</v>
      </c>
      <c r="B91" s="49" t="s">
        <v>2653</v>
      </c>
      <c r="C91" s="49" t="s">
        <v>227</v>
      </c>
      <c r="D91" s="49" t="s">
        <v>2654</v>
      </c>
      <c r="E91" s="49" t="s">
        <v>152</v>
      </c>
      <c r="F91" s="49"/>
      <c r="G91" s="49" t="s">
        <v>35</v>
      </c>
      <c r="H91" s="49">
        <v>2000</v>
      </c>
      <c r="I91" s="55">
        <v>400</v>
      </c>
      <c r="J91" s="49" t="s">
        <v>36</v>
      </c>
      <c r="K91" s="49" t="s">
        <v>37</v>
      </c>
      <c r="L91" s="146"/>
      <c r="M91" s="148">
        <v>400</v>
      </c>
      <c r="N91" s="148"/>
      <c r="O91" s="1"/>
      <c r="P91" s="1"/>
      <c r="Q91" s="1"/>
    </row>
    <row r="92" spans="1:26" ht="15.75" customHeight="1">
      <c r="A92" s="49">
        <v>11</v>
      </c>
      <c r="B92" s="49" t="s">
        <v>2655</v>
      </c>
      <c r="C92" s="49" t="s">
        <v>227</v>
      </c>
      <c r="D92" s="49" t="s">
        <v>2460</v>
      </c>
      <c r="E92" s="49" t="s">
        <v>323</v>
      </c>
      <c r="F92" s="49"/>
      <c r="G92" s="49" t="s">
        <v>35</v>
      </c>
      <c r="H92" s="49">
        <v>2500</v>
      </c>
      <c r="I92" s="55">
        <v>500</v>
      </c>
      <c r="J92" s="49" t="s">
        <v>36</v>
      </c>
      <c r="K92" s="49" t="s">
        <v>37</v>
      </c>
      <c r="L92" s="146"/>
      <c r="M92" s="148">
        <v>2400</v>
      </c>
      <c r="N92" s="148"/>
      <c r="O92" s="1"/>
      <c r="P92" s="1"/>
      <c r="Q92" s="1"/>
    </row>
    <row r="93" spans="1:26" ht="15.75" customHeight="1">
      <c r="A93" s="49">
        <v>11</v>
      </c>
      <c r="B93" s="49" t="s">
        <v>2656</v>
      </c>
      <c r="C93" s="49" t="s">
        <v>227</v>
      </c>
      <c r="D93" s="49" t="s">
        <v>2193</v>
      </c>
      <c r="E93" s="49" t="s">
        <v>80</v>
      </c>
      <c r="F93" s="49"/>
      <c r="G93" s="49" t="s">
        <v>35</v>
      </c>
      <c r="H93" s="49">
        <v>3000</v>
      </c>
      <c r="I93" s="55">
        <v>600</v>
      </c>
      <c r="J93" s="49" t="s">
        <v>36</v>
      </c>
      <c r="K93" s="49" t="s">
        <v>37</v>
      </c>
      <c r="L93" s="146"/>
      <c r="M93" s="148">
        <v>600</v>
      </c>
      <c r="N93" s="148"/>
      <c r="O93" s="1"/>
      <c r="P93" s="1"/>
      <c r="Q93" s="1"/>
    </row>
    <row r="94" spans="1:26" ht="15.75" customHeight="1">
      <c r="A94" s="49">
        <v>11</v>
      </c>
      <c r="B94" s="49" t="s">
        <v>2657</v>
      </c>
      <c r="C94" s="49" t="s">
        <v>227</v>
      </c>
      <c r="D94" s="49" t="s">
        <v>2193</v>
      </c>
      <c r="E94" s="49" t="s">
        <v>80</v>
      </c>
      <c r="F94" s="49"/>
      <c r="G94" s="49" t="s">
        <v>35</v>
      </c>
      <c r="H94" s="49">
        <v>2000</v>
      </c>
      <c r="I94" s="55">
        <v>400</v>
      </c>
      <c r="J94" s="49" t="s">
        <v>36</v>
      </c>
      <c r="K94" s="49" t="s">
        <v>37</v>
      </c>
      <c r="L94" s="146"/>
      <c r="M94" s="148">
        <v>400</v>
      </c>
      <c r="N94" s="148"/>
      <c r="O94" s="1"/>
      <c r="P94" s="1"/>
      <c r="Q94" s="1"/>
    </row>
    <row r="95" spans="1:26" ht="15.75" customHeight="1">
      <c r="A95" s="49">
        <v>11</v>
      </c>
      <c r="B95" s="49" t="s">
        <v>2658</v>
      </c>
      <c r="C95" s="49" t="s">
        <v>227</v>
      </c>
      <c r="D95" s="49" t="s">
        <v>833</v>
      </c>
      <c r="E95" s="49" t="s">
        <v>48</v>
      </c>
      <c r="F95" s="49"/>
      <c r="G95" s="49" t="s">
        <v>35</v>
      </c>
      <c r="H95" s="50">
        <v>250</v>
      </c>
      <c r="I95" s="55">
        <v>50</v>
      </c>
      <c r="J95" s="49" t="s">
        <v>36</v>
      </c>
      <c r="K95" s="49" t="s">
        <v>37</v>
      </c>
      <c r="L95" s="146"/>
      <c r="M95" s="148">
        <v>40</v>
      </c>
      <c r="N95" s="148"/>
      <c r="O95" s="1"/>
      <c r="P95" s="1"/>
      <c r="Q95" s="1"/>
    </row>
    <row r="96" spans="1:26" ht="15.75" customHeight="1">
      <c r="A96" s="49">
        <v>11</v>
      </c>
      <c r="B96" s="49" t="s">
        <v>2659</v>
      </c>
      <c r="C96" s="49" t="s">
        <v>227</v>
      </c>
      <c r="D96" s="49" t="s">
        <v>728</v>
      </c>
      <c r="E96" s="49" t="s">
        <v>184</v>
      </c>
      <c r="F96" s="49"/>
      <c r="G96" s="49" t="s">
        <v>35</v>
      </c>
      <c r="H96" s="50">
        <v>3000</v>
      </c>
      <c r="I96" s="55">
        <v>600</v>
      </c>
      <c r="J96" s="49" t="s">
        <v>36</v>
      </c>
      <c r="K96" s="49" t="s">
        <v>37</v>
      </c>
      <c r="L96" s="146"/>
      <c r="M96" s="148">
        <v>600</v>
      </c>
      <c r="N96" s="148"/>
      <c r="O96" s="1"/>
      <c r="P96" s="1"/>
      <c r="Q96" s="1"/>
    </row>
    <row r="97" spans="1:17" ht="15.75" customHeight="1">
      <c r="A97" s="49">
        <v>11</v>
      </c>
      <c r="B97" s="49" t="s">
        <v>1325</v>
      </c>
      <c r="C97" s="49" t="s">
        <v>227</v>
      </c>
      <c r="D97" s="49" t="s">
        <v>819</v>
      </c>
      <c r="E97" s="49" t="s">
        <v>248</v>
      </c>
      <c r="F97" s="49"/>
      <c r="G97" s="49" t="s">
        <v>35</v>
      </c>
      <c r="H97" s="50">
        <v>400</v>
      </c>
      <c r="I97" s="55">
        <v>80</v>
      </c>
      <c r="J97" s="49" t="s">
        <v>36</v>
      </c>
      <c r="K97" s="49" t="s">
        <v>37</v>
      </c>
      <c r="L97" s="146"/>
      <c r="M97" s="148">
        <v>80</v>
      </c>
      <c r="N97" s="148"/>
      <c r="O97" s="1"/>
      <c r="P97" s="1"/>
      <c r="Q97" s="1"/>
    </row>
    <row r="98" spans="1:17" ht="15.75" customHeight="1">
      <c r="A98" s="49">
        <v>11</v>
      </c>
      <c r="B98" s="49" t="s">
        <v>1325</v>
      </c>
      <c r="C98" s="49" t="s">
        <v>227</v>
      </c>
      <c r="D98" s="49" t="s">
        <v>819</v>
      </c>
      <c r="E98" s="49" t="s">
        <v>248</v>
      </c>
      <c r="F98" s="49"/>
      <c r="G98" s="49" t="s">
        <v>170</v>
      </c>
      <c r="H98" s="49">
        <v>400</v>
      </c>
      <c r="I98" s="55">
        <v>240</v>
      </c>
      <c r="J98" s="49" t="s">
        <v>36</v>
      </c>
      <c r="K98" s="49" t="s">
        <v>37</v>
      </c>
      <c r="L98" s="146"/>
      <c r="M98" s="148"/>
      <c r="N98" s="148"/>
      <c r="O98" s="1"/>
      <c r="P98" s="1"/>
      <c r="Q98" s="1"/>
    </row>
    <row r="99" spans="1:17" ht="15.75" customHeight="1">
      <c r="A99" s="49">
        <v>11</v>
      </c>
      <c r="B99" s="49" t="s">
        <v>2660</v>
      </c>
      <c r="C99" s="49" t="s">
        <v>227</v>
      </c>
      <c r="D99" s="49" t="s">
        <v>239</v>
      </c>
      <c r="E99" s="49" t="s">
        <v>232</v>
      </c>
      <c r="F99" s="49"/>
      <c r="G99" s="49" t="s">
        <v>35</v>
      </c>
      <c r="H99" s="49">
        <v>1000</v>
      </c>
      <c r="I99" s="55">
        <v>200</v>
      </c>
      <c r="J99" s="49" t="s">
        <v>36</v>
      </c>
      <c r="K99" s="49" t="s">
        <v>37</v>
      </c>
      <c r="L99" s="146"/>
      <c r="M99" s="148">
        <v>200</v>
      </c>
      <c r="N99" s="148"/>
      <c r="O99" s="1"/>
      <c r="P99" s="1"/>
      <c r="Q99" s="1"/>
    </row>
    <row r="100" spans="1:17" ht="15.75" customHeight="1">
      <c r="A100" s="49">
        <v>11</v>
      </c>
      <c r="B100" s="49" t="s">
        <v>2605</v>
      </c>
      <c r="C100" s="49" t="s">
        <v>246</v>
      </c>
      <c r="D100" s="49" t="s">
        <v>234</v>
      </c>
      <c r="E100" s="49" t="s">
        <v>235</v>
      </c>
      <c r="F100" s="49"/>
      <c r="G100" s="49" t="s">
        <v>35</v>
      </c>
      <c r="H100" s="50">
        <v>2500</v>
      </c>
      <c r="I100" s="55">
        <v>500</v>
      </c>
      <c r="J100" s="49" t="s">
        <v>36</v>
      </c>
      <c r="K100" s="49" t="s">
        <v>37</v>
      </c>
      <c r="L100" s="146"/>
      <c r="M100" s="148">
        <v>1000</v>
      </c>
      <c r="N100" s="148"/>
      <c r="O100" s="1"/>
      <c r="P100" s="1"/>
      <c r="Q100" s="1"/>
    </row>
    <row r="101" spans="1:17" ht="15.75" customHeight="1">
      <c r="A101" s="49">
        <v>11</v>
      </c>
      <c r="B101" s="49" t="s">
        <v>2661</v>
      </c>
      <c r="C101" s="49" t="s">
        <v>227</v>
      </c>
      <c r="D101" s="49" t="s">
        <v>733</v>
      </c>
      <c r="E101" s="49" t="s">
        <v>193</v>
      </c>
      <c r="F101" s="49"/>
      <c r="G101" s="49" t="s">
        <v>35</v>
      </c>
      <c r="H101" s="50">
        <v>2000</v>
      </c>
      <c r="I101" s="55">
        <v>400</v>
      </c>
      <c r="J101" s="49" t="s">
        <v>36</v>
      </c>
      <c r="K101" s="49" t="s">
        <v>37</v>
      </c>
      <c r="L101" s="146"/>
      <c r="M101" s="148">
        <v>300</v>
      </c>
      <c r="N101" s="148"/>
      <c r="O101" s="1"/>
      <c r="P101" s="1"/>
      <c r="Q101" s="1"/>
    </row>
    <row r="102" spans="1:17" ht="15.75" customHeight="1">
      <c r="A102" s="49">
        <v>11</v>
      </c>
      <c r="B102" s="49" t="s">
        <v>2662</v>
      </c>
      <c r="C102" s="49" t="s">
        <v>227</v>
      </c>
      <c r="D102" s="49" t="s">
        <v>423</v>
      </c>
      <c r="E102" s="49" t="s">
        <v>248</v>
      </c>
      <c r="F102" s="49"/>
      <c r="G102" s="49" t="s">
        <v>35</v>
      </c>
      <c r="H102" s="50">
        <v>500</v>
      </c>
      <c r="I102" s="55">
        <v>100</v>
      </c>
      <c r="J102" s="49" t="s">
        <v>36</v>
      </c>
      <c r="K102" s="49" t="s">
        <v>37</v>
      </c>
      <c r="L102" s="146"/>
      <c r="M102" s="148">
        <v>150</v>
      </c>
      <c r="N102" s="148"/>
      <c r="O102" s="1"/>
      <c r="P102" s="1"/>
      <c r="Q102" s="1"/>
    </row>
    <row r="103" spans="1:17" ht="15.75" customHeight="1">
      <c r="A103" s="49">
        <v>11</v>
      </c>
      <c r="B103" s="49" t="s">
        <v>2663</v>
      </c>
      <c r="C103" s="49" t="s">
        <v>227</v>
      </c>
      <c r="D103" s="49" t="s">
        <v>1215</v>
      </c>
      <c r="E103" s="49" t="s">
        <v>232</v>
      </c>
      <c r="F103" s="49"/>
      <c r="G103" s="49" t="s">
        <v>35</v>
      </c>
      <c r="H103" s="50">
        <v>500</v>
      </c>
      <c r="I103" s="55" t="s">
        <v>43</v>
      </c>
      <c r="J103" s="49" t="s">
        <v>36</v>
      </c>
      <c r="K103" s="49" t="s">
        <v>37</v>
      </c>
      <c r="L103" s="146"/>
      <c r="M103" s="148">
        <v>4000</v>
      </c>
      <c r="N103" s="148"/>
      <c r="O103" s="1"/>
      <c r="P103" s="1"/>
      <c r="Q103" s="1"/>
    </row>
    <row r="104" spans="1:17" ht="15.75" customHeight="1">
      <c r="A104" s="101">
        <v>11</v>
      </c>
      <c r="B104" s="101" t="s">
        <v>2664</v>
      </c>
      <c r="C104" s="101" t="s">
        <v>227</v>
      </c>
      <c r="D104" s="101" t="s">
        <v>33</v>
      </c>
      <c r="E104" s="101" t="s">
        <v>307</v>
      </c>
      <c r="F104" s="101"/>
      <c r="G104" s="101" t="s">
        <v>35</v>
      </c>
      <c r="H104" s="114">
        <v>7000</v>
      </c>
      <c r="I104" s="102">
        <v>1400</v>
      </c>
      <c r="J104" s="49" t="s">
        <v>36</v>
      </c>
      <c r="K104" s="49" t="s">
        <v>37</v>
      </c>
      <c r="L104" s="146"/>
      <c r="M104" s="148">
        <v>1400</v>
      </c>
      <c r="N104" s="148"/>
      <c r="O104" s="1"/>
      <c r="P104" s="1"/>
      <c r="Q104" s="1"/>
    </row>
    <row r="105" spans="1:17" ht="15.75" customHeight="1">
      <c r="A105" s="17">
        <v>12</v>
      </c>
      <c r="B105" s="17" t="s">
        <v>2665</v>
      </c>
      <c r="C105" s="17" t="s">
        <v>227</v>
      </c>
      <c r="D105" s="17" t="s">
        <v>205</v>
      </c>
      <c r="E105" s="17" t="s">
        <v>199</v>
      </c>
      <c r="F105" s="17"/>
      <c r="G105" s="17" t="s">
        <v>35</v>
      </c>
      <c r="H105" s="116">
        <v>4000</v>
      </c>
      <c r="I105" s="105">
        <v>800</v>
      </c>
      <c r="J105" s="49" t="s">
        <v>36</v>
      </c>
      <c r="K105" s="49" t="s">
        <v>37</v>
      </c>
      <c r="L105" s="146"/>
      <c r="M105" s="148">
        <v>1000</v>
      </c>
      <c r="N105" s="148"/>
      <c r="O105" s="151"/>
      <c r="P105" s="1"/>
      <c r="Q105" s="128"/>
    </row>
    <row r="106" spans="1:17" ht="15.75" customHeight="1">
      <c r="A106" s="49">
        <v>12</v>
      </c>
      <c r="B106" s="49" t="s">
        <v>2666</v>
      </c>
      <c r="C106" s="49" t="s">
        <v>227</v>
      </c>
      <c r="D106" s="49" t="s">
        <v>2667</v>
      </c>
      <c r="E106" s="49" t="s">
        <v>467</v>
      </c>
      <c r="F106" s="49"/>
      <c r="G106" s="49" t="s">
        <v>35</v>
      </c>
      <c r="H106" s="50">
        <v>500</v>
      </c>
      <c r="I106" s="55">
        <v>100</v>
      </c>
      <c r="J106" s="49" t="s">
        <v>36</v>
      </c>
      <c r="K106" s="49" t="s">
        <v>37</v>
      </c>
      <c r="L106" s="146"/>
      <c r="M106" s="148">
        <v>49</v>
      </c>
      <c r="N106" s="148"/>
      <c r="O106" s="1"/>
      <c r="P106" s="1"/>
      <c r="Q106" s="1"/>
    </row>
    <row r="107" spans="1:17" ht="15.75" customHeight="1">
      <c r="A107" s="49">
        <v>12</v>
      </c>
      <c r="B107" s="49" t="s">
        <v>2668</v>
      </c>
      <c r="C107" s="49" t="s">
        <v>227</v>
      </c>
      <c r="D107" s="49" t="s">
        <v>2669</v>
      </c>
      <c r="E107" s="49" t="s">
        <v>251</v>
      </c>
      <c r="F107" s="49"/>
      <c r="G107" s="49" t="s">
        <v>35</v>
      </c>
      <c r="H107" s="50">
        <v>500</v>
      </c>
      <c r="I107" s="55">
        <v>100</v>
      </c>
      <c r="J107" s="49" t="s">
        <v>36</v>
      </c>
      <c r="K107" s="49" t="s">
        <v>37</v>
      </c>
      <c r="L107" s="146"/>
      <c r="M107" s="148">
        <v>100</v>
      </c>
      <c r="N107" s="148"/>
      <c r="O107" s="1"/>
      <c r="P107" s="1"/>
      <c r="Q107" s="1"/>
    </row>
    <row r="108" spans="1:17" ht="15.75" customHeight="1">
      <c r="A108" s="49">
        <v>12</v>
      </c>
      <c r="B108" s="49" t="s">
        <v>2670</v>
      </c>
      <c r="C108" s="49" t="s">
        <v>227</v>
      </c>
      <c r="D108" s="49" t="s">
        <v>2671</v>
      </c>
      <c r="E108" s="49" t="s">
        <v>232</v>
      </c>
      <c r="F108" s="49"/>
      <c r="G108" s="49" t="s">
        <v>35</v>
      </c>
      <c r="H108" s="50">
        <v>2000</v>
      </c>
      <c r="I108" s="55">
        <v>400</v>
      </c>
      <c r="J108" s="49" t="s">
        <v>36</v>
      </c>
      <c r="K108" s="49" t="s">
        <v>37</v>
      </c>
      <c r="L108" s="146"/>
      <c r="M108" s="148">
        <v>900</v>
      </c>
      <c r="N108" s="148"/>
      <c r="O108" s="1"/>
      <c r="P108" s="1"/>
      <c r="Q108" s="1"/>
    </row>
    <row r="109" spans="1:17" ht="15.75" customHeight="1">
      <c r="A109" s="49">
        <v>12</v>
      </c>
      <c r="B109" s="49" t="s">
        <v>2670</v>
      </c>
      <c r="C109" s="49" t="s">
        <v>227</v>
      </c>
      <c r="D109" s="49" t="s">
        <v>2671</v>
      </c>
      <c r="E109" s="49" t="s">
        <v>232</v>
      </c>
      <c r="F109" s="49"/>
      <c r="G109" s="49" t="s">
        <v>2589</v>
      </c>
      <c r="H109" s="50">
        <v>10</v>
      </c>
      <c r="I109" s="55">
        <v>100</v>
      </c>
      <c r="J109" s="49" t="s">
        <v>36</v>
      </c>
      <c r="K109" s="49" t="s">
        <v>37</v>
      </c>
      <c r="L109" s="146"/>
      <c r="M109" s="148"/>
      <c r="N109" s="148"/>
      <c r="O109" s="1"/>
      <c r="P109" s="1"/>
      <c r="Q109" s="1"/>
    </row>
    <row r="110" spans="1:17" ht="15.75" customHeight="1">
      <c r="A110" s="49">
        <v>12</v>
      </c>
      <c r="B110" s="49" t="s">
        <v>2672</v>
      </c>
      <c r="C110" s="49" t="s">
        <v>227</v>
      </c>
      <c r="D110" s="49" t="s">
        <v>234</v>
      </c>
      <c r="E110" s="49" t="s">
        <v>235</v>
      </c>
      <c r="F110" s="49"/>
      <c r="G110" s="49" t="s">
        <v>35</v>
      </c>
      <c r="H110" s="50">
        <v>1000</v>
      </c>
      <c r="I110" s="55">
        <v>400</v>
      </c>
      <c r="J110" s="49" t="s">
        <v>36</v>
      </c>
      <c r="K110" s="49" t="s">
        <v>37</v>
      </c>
      <c r="L110" s="146"/>
      <c r="M110" s="148">
        <v>400</v>
      </c>
      <c r="N110" s="148"/>
      <c r="O110" s="1"/>
      <c r="P110" s="1"/>
      <c r="Q110" s="1"/>
    </row>
    <row r="111" spans="1:17" ht="15.75" customHeight="1">
      <c r="A111" s="101">
        <v>12</v>
      </c>
      <c r="B111" s="101" t="s">
        <v>2673</v>
      </c>
      <c r="C111" s="101" t="s">
        <v>246</v>
      </c>
      <c r="D111" s="101" t="s">
        <v>2027</v>
      </c>
      <c r="E111" s="101" t="s">
        <v>248</v>
      </c>
      <c r="F111" s="101"/>
      <c r="G111" s="101" t="s">
        <v>35</v>
      </c>
      <c r="H111" s="114">
        <v>1500</v>
      </c>
      <c r="I111" s="102">
        <v>300</v>
      </c>
      <c r="J111" s="49" t="s">
        <v>36</v>
      </c>
      <c r="K111" s="49" t="s">
        <v>37</v>
      </c>
      <c r="L111" s="146"/>
      <c r="M111" s="148">
        <v>300</v>
      </c>
      <c r="N111" s="148"/>
      <c r="O111" s="1"/>
      <c r="P111" s="1"/>
      <c r="Q111" s="1"/>
    </row>
    <row r="112" spans="1:17" ht="15.75" customHeight="1">
      <c r="A112" s="17">
        <v>13</v>
      </c>
      <c r="B112" s="17" t="s">
        <v>2674</v>
      </c>
      <c r="C112" s="17" t="s">
        <v>227</v>
      </c>
      <c r="D112" s="17" t="s">
        <v>2675</v>
      </c>
      <c r="E112" s="17" t="s">
        <v>193</v>
      </c>
      <c r="F112" s="17"/>
      <c r="G112" s="17" t="s">
        <v>35</v>
      </c>
      <c r="H112" s="116">
        <v>7000</v>
      </c>
      <c r="I112" s="105">
        <v>1400</v>
      </c>
      <c r="J112" s="49" t="s">
        <v>36</v>
      </c>
      <c r="K112" s="49" t="s">
        <v>37</v>
      </c>
      <c r="L112" s="146"/>
      <c r="M112" s="148">
        <v>1200</v>
      </c>
      <c r="N112" s="148"/>
      <c r="O112" s="151"/>
      <c r="P112" s="1"/>
      <c r="Q112" s="1"/>
    </row>
    <row r="113" spans="1:17" ht="15.75" customHeight="1">
      <c r="A113" s="49">
        <v>13</v>
      </c>
      <c r="B113" s="49" t="s">
        <v>2676</v>
      </c>
      <c r="C113" s="49" t="s">
        <v>227</v>
      </c>
      <c r="D113" s="49" t="s">
        <v>2677</v>
      </c>
      <c r="E113" s="49" t="s">
        <v>2157</v>
      </c>
      <c r="F113" s="49"/>
      <c r="G113" s="49" t="s">
        <v>35</v>
      </c>
      <c r="H113" s="50">
        <v>700</v>
      </c>
      <c r="I113" s="55">
        <v>280</v>
      </c>
      <c r="J113" s="49" t="s">
        <v>36</v>
      </c>
      <c r="K113" s="49" t="s">
        <v>37</v>
      </c>
      <c r="L113" s="146"/>
      <c r="M113" s="148">
        <v>44</v>
      </c>
      <c r="N113" s="148"/>
      <c r="O113" s="1"/>
      <c r="P113" s="1"/>
      <c r="Q113" s="1"/>
    </row>
    <row r="114" spans="1:17" ht="15.75" customHeight="1">
      <c r="A114" s="49">
        <v>13</v>
      </c>
      <c r="B114" s="49" t="s">
        <v>2678</v>
      </c>
      <c r="C114" s="49" t="s">
        <v>246</v>
      </c>
      <c r="D114" s="49" t="s">
        <v>1215</v>
      </c>
      <c r="E114" s="49" t="s">
        <v>232</v>
      </c>
      <c r="F114" s="49"/>
      <c r="G114" s="49" t="s">
        <v>35</v>
      </c>
      <c r="H114" s="50">
        <v>200</v>
      </c>
      <c r="I114" s="55">
        <v>80</v>
      </c>
      <c r="J114" s="49" t="s">
        <v>36</v>
      </c>
      <c r="K114" s="49" t="s">
        <v>37</v>
      </c>
      <c r="L114" s="146"/>
      <c r="M114" s="148">
        <v>200</v>
      </c>
      <c r="N114" s="148"/>
      <c r="O114" s="1"/>
      <c r="P114" s="1"/>
      <c r="Q114" s="1"/>
    </row>
    <row r="115" spans="1:17" ht="15.75" customHeight="1">
      <c r="A115" s="49">
        <v>13</v>
      </c>
      <c r="B115" s="49" t="s">
        <v>2678</v>
      </c>
      <c r="C115" s="49" t="s">
        <v>246</v>
      </c>
      <c r="D115" s="49" t="s">
        <v>1215</v>
      </c>
      <c r="E115" s="49" t="s">
        <v>232</v>
      </c>
      <c r="F115" s="49"/>
      <c r="G115" s="49" t="s">
        <v>35</v>
      </c>
      <c r="H115" s="50">
        <v>300</v>
      </c>
      <c r="I115" s="55">
        <v>60</v>
      </c>
      <c r="J115" s="49" t="s">
        <v>36</v>
      </c>
      <c r="K115" s="49" t="s">
        <v>37</v>
      </c>
      <c r="L115" s="146"/>
      <c r="M115" s="148">
        <v>60</v>
      </c>
      <c r="N115" s="148"/>
      <c r="O115" s="1"/>
      <c r="P115" s="1"/>
      <c r="Q115" s="1"/>
    </row>
    <row r="116" spans="1:17" ht="15.75" customHeight="1">
      <c r="A116" s="49">
        <v>13</v>
      </c>
      <c r="B116" s="49" t="s">
        <v>2678</v>
      </c>
      <c r="C116" s="49" t="s">
        <v>246</v>
      </c>
      <c r="D116" s="49" t="s">
        <v>1215</v>
      </c>
      <c r="E116" s="49" t="s">
        <v>232</v>
      </c>
      <c r="F116" s="49"/>
      <c r="G116" s="49" t="s">
        <v>170</v>
      </c>
      <c r="H116" s="50">
        <v>50</v>
      </c>
      <c r="I116" s="55">
        <v>30</v>
      </c>
      <c r="J116" s="49" t="s">
        <v>36</v>
      </c>
      <c r="K116" s="49" t="s">
        <v>37</v>
      </c>
      <c r="L116" s="146"/>
      <c r="M116" s="148"/>
      <c r="N116" s="148"/>
      <c r="O116" s="1"/>
      <c r="P116" s="1"/>
      <c r="Q116" s="1"/>
    </row>
    <row r="117" spans="1:17" ht="15.75" customHeight="1">
      <c r="A117" s="49">
        <v>13</v>
      </c>
      <c r="B117" s="49" t="s">
        <v>2679</v>
      </c>
      <c r="C117" s="49" t="s">
        <v>246</v>
      </c>
      <c r="D117" s="49" t="s">
        <v>304</v>
      </c>
      <c r="E117" s="49" t="s">
        <v>241</v>
      </c>
      <c r="F117" s="49"/>
      <c r="G117" s="49" t="s">
        <v>35</v>
      </c>
      <c r="H117" s="50">
        <v>2000</v>
      </c>
      <c r="I117" s="55">
        <v>800</v>
      </c>
      <c r="J117" s="49" t="s">
        <v>36</v>
      </c>
      <c r="K117" s="49" t="s">
        <v>37</v>
      </c>
      <c r="L117" s="146"/>
      <c r="M117" s="148">
        <v>1000</v>
      </c>
      <c r="N117" s="148"/>
      <c r="O117" s="1"/>
      <c r="P117" s="1"/>
      <c r="Q117" s="1"/>
    </row>
    <row r="118" spans="1:17" ht="15.75" customHeight="1">
      <c r="A118" s="49">
        <v>13</v>
      </c>
      <c r="B118" s="49" t="s">
        <v>2679</v>
      </c>
      <c r="C118" s="49" t="s">
        <v>246</v>
      </c>
      <c r="D118" s="49" t="s">
        <v>304</v>
      </c>
      <c r="E118" s="49" t="s">
        <v>241</v>
      </c>
      <c r="F118" s="49"/>
      <c r="G118" s="49" t="s">
        <v>170</v>
      </c>
      <c r="H118" s="50">
        <v>500</v>
      </c>
      <c r="I118" s="55">
        <v>300</v>
      </c>
      <c r="J118" s="49" t="s">
        <v>36</v>
      </c>
      <c r="K118" s="49" t="s">
        <v>37</v>
      </c>
      <c r="L118" s="146"/>
      <c r="M118" s="148"/>
      <c r="N118" s="148"/>
      <c r="O118" s="1"/>
      <c r="P118" s="1"/>
      <c r="Q118" s="1"/>
    </row>
    <row r="119" spans="1:17" ht="15.75" customHeight="1">
      <c r="A119" s="49">
        <v>13</v>
      </c>
      <c r="B119" s="49" t="s">
        <v>2680</v>
      </c>
      <c r="C119" s="49" t="s">
        <v>227</v>
      </c>
      <c r="D119" s="49" t="s">
        <v>944</v>
      </c>
      <c r="E119" s="49" t="s">
        <v>164</v>
      </c>
      <c r="F119" s="49"/>
      <c r="G119" s="49" t="s">
        <v>35</v>
      </c>
      <c r="H119" s="50">
        <v>5000</v>
      </c>
      <c r="I119" s="55">
        <v>1000</v>
      </c>
      <c r="J119" s="49" t="s">
        <v>36</v>
      </c>
      <c r="K119" s="49" t="s">
        <v>37</v>
      </c>
      <c r="L119" s="146"/>
      <c r="M119" s="148">
        <v>1000</v>
      </c>
      <c r="N119" s="148"/>
      <c r="O119" s="1"/>
      <c r="P119" s="1"/>
      <c r="Q119" s="1"/>
    </row>
    <row r="120" spans="1:17" ht="15.75" customHeight="1">
      <c r="A120" s="49">
        <v>13</v>
      </c>
      <c r="B120" s="49" t="s">
        <v>2681</v>
      </c>
      <c r="C120" s="49" t="s">
        <v>227</v>
      </c>
      <c r="D120" s="49" t="s">
        <v>2682</v>
      </c>
      <c r="E120" s="49" t="s">
        <v>254</v>
      </c>
      <c r="F120" s="49"/>
      <c r="G120" s="49" t="s">
        <v>35</v>
      </c>
      <c r="H120" s="50">
        <v>500</v>
      </c>
      <c r="I120" s="55" t="s">
        <v>43</v>
      </c>
      <c r="J120" s="49" t="s">
        <v>36</v>
      </c>
      <c r="K120" s="49" t="s">
        <v>37</v>
      </c>
      <c r="L120" s="146"/>
      <c r="M120" s="148">
        <v>200</v>
      </c>
      <c r="N120" s="148"/>
      <c r="O120" s="1"/>
      <c r="P120" s="1"/>
      <c r="Q120" s="1"/>
    </row>
    <row r="121" spans="1:17" ht="15.75" customHeight="1">
      <c r="A121" s="49">
        <v>13</v>
      </c>
      <c r="B121" s="49" t="s">
        <v>2681</v>
      </c>
      <c r="C121" s="49" t="s">
        <v>227</v>
      </c>
      <c r="D121" s="49" t="s">
        <v>2682</v>
      </c>
      <c r="E121" s="49" t="s">
        <v>254</v>
      </c>
      <c r="F121" s="49"/>
      <c r="G121" s="49"/>
      <c r="H121" s="50">
        <v>500</v>
      </c>
      <c r="I121" s="55">
        <v>200</v>
      </c>
      <c r="J121" s="49" t="s">
        <v>36</v>
      </c>
      <c r="K121" s="49" t="s">
        <v>37</v>
      </c>
      <c r="L121" s="146"/>
      <c r="M121" s="148"/>
      <c r="N121" s="148"/>
      <c r="O121" s="1"/>
      <c r="P121" s="1"/>
      <c r="Q121" s="1"/>
    </row>
    <row r="122" spans="1:17" ht="15.75" customHeight="1">
      <c r="A122" s="101">
        <v>13</v>
      </c>
      <c r="B122" s="101" t="s">
        <v>2683</v>
      </c>
      <c r="C122" s="101" t="s">
        <v>227</v>
      </c>
      <c r="D122" s="101" t="s">
        <v>32</v>
      </c>
      <c r="E122" s="101" t="s">
        <v>321</v>
      </c>
      <c r="F122" s="101"/>
      <c r="G122" s="101" t="s">
        <v>170</v>
      </c>
      <c r="H122" s="101">
        <v>500</v>
      </c>
      <c r="I122" s="102">
        <v>300</v>
      </c>
      <c r="J122" s="49" t="s">
        <v>36</v>
      </c>
      <c r="K122" s="49" t="s">
        <v>37</v>
      </c>
      <c r="L122" s="146"/>
      <c r="M122" s="148">
        <v>300</v>
      </c>
      <c r="N122" s="148"/>
      <c r="O122" s="1"/>
      <c r="P122" s="1"/>
      <c r="Q122" s="1"/>
    </row>
    <row r="123" spans="1:17" ht="15.75" customHeight="1">
      <c r="A123" s="17">
        <v>18</v>
      </c>
      <c r="B123" s="17" t="s">
        <v>2684</v>
      </c>
      <c r="C123" s="17" t="s">
        <v>227</v>
      </c>
      <c r="D123" s="17"/>
      <c r="E123" s="17" t="s">
        <v>41</v>
      </c>
      <c r="F123" s="17"/>
      <c r="G123" s="17" t="s">
        <v>35</v>
      </c>
      <c r="H123" s="17">
        <v>500</v>
      </c>
      <c r="I123" s="105">
        <v>100</v>
      </c>
      <c r="J123" s="49" t="s">
        <v>36</v>
      </c>
      <c r="K123" s="49" t="s">
        <v>37</v>
      </c>
      <c r="L123" s="146"/>
      <c r="M123" s="148">
        <v>100</v>
      </c>
      <c r="N123" s="148"/>
      <c r="O123" s="151"/>
      <c r="P123" s="1"/>
      <c r="Q123" s="1"/>
    </row>
    <row r="124" spans="1:17" ht="15.75" customHeight="1">
      <c r="A124" s="49">
        <v>18</v>
      </c>
      <c r="B124" s="49" t="s">
        <v>2685</v>
      </c>
      <c r="C124" s="49" t="s">
        <v>227</v>
      </c>
      <c r="D124" s="49" t="s">
        <v>2463</v>
      </c>
      <c r="E124" s="49" t="s">
        <v>232</v>
      </c>
      <c r="F124" s="49"/>
      <c r="G124" s="49" t="s">
        <v>35</v>
      </c>
      <c r="H124" s="50">
        <v>100</v>
      </c>
      <c r="I124" s="55">
        <v>20</v>
      </c>
      <c r="J124" s="49" t="s">
        <v>36</v>
      </c>
      <c r="K124" s="49" t="s">
        <v>37</v>
      </c>
      <c r="L124" s="146"/>
      <c r="M124" s="148">
        <v>20</v>
      </c>
      <c r="N124" s="148"/>
      <c r="O124" s="4"/>
      <c r="P124" s="1"/>
      <c r="Q124" s="1"/>
    </row>
    <row r="125" spans="1:17" ht="15.75" customHeight="1">
      <c r="A125" s="49">
        <v>18</v>
      </c>
      <c r="B125" s="49" t="s">
        <v>2685</v>
      </c>
      <c r="C125" s="49" t="s">
        <v>227</v>
      </c>
      <c r="D125" s="49" t="s">
        <v>2463</v>
      </c>
      <c r="E125" s="49" t="s">
        <v>232</v>
      </c>
      <c r="F125" s="49"/>
      <c r="G125" s="49" t="s">
        <v>2589</v>
      </c>
      <c r="H125" s="49">
        <v>20</v>
      </c>
      <c r="I125" s="55">
        <v>200</v>
      </c>
      <c r="J125" s="49" t="s">
        <v>36</v>
      </c>
      <c r="K125" s="49" t="s">
        <v>37</v>
      </c>
      <c r="L125" s="146"/>
      <c r="M125" s="148"/>
      <c r="N125" s="148"/>
      <c r="O125" s="4"/>
      <c r="P125" s="1"/>
      <c r="Q125" s="1"/>
    </row>
    <row r="126" spans="1:17" ht="15.75" customHeight="1">
      <c r="A126" s="49">
        <v>18</v>
      </c>
      <c r="B126" s="49" t="s">
        <v>2686</v>
      </c>
      <c r="C126" s="49" t="s">
        <v>246</v>
      </c>
      <c r="D126" s="49" t="s">
        <v>873</v>
      </c>
      <c r="E126" s="49" t="s">
        <v>148</v>
      </c>
      <c r="F126" s="49"/>
      <c r="G126" s="49" t="s">
        <v>170</v>
      </c>
      <c r="H126" s="49">
        <v>100</v>
      </c>
      <c r="I126" s="55">
        <v>60</v>
      </c>
      <c r="J126" s="49" t="s">
        <v>36</v>
      </c>
      <c r="K126" s="49" t="s">
        <v>37</v>
      </c>
      <c r="L126" s="146"/>
      <c r="M126" s="148">
        <v>20</v>
      </c>
      <c r="N126" s="148"/>
      <c r="O126" s="1"/>
      <c r="P126" s="1"/>
      <c r="Q126" s="1"/>
    </row>
    <row r="127" spans="1:17" ht="15.75" customHeight="1">
      <c r="A127" s="49">
        <v>18</v>
      </c>
      <c r="B127" s="49" t="s">
        <v>1451</v>
      </c>
      <c r="C127" s="49" t="s">
        <v>246</v>
      </c>
      <c r="D127" s="49" t="s">
        <v>260</v>
      </c>
      <c r="E127" s="49" t="s">
        <v>51</v>
      </c>
      <c r="F127" s="49"/>
      <c r="G127" s="49" t="s">
        <v>2589</v>
      </c>
      <c r="H127" s="50">
        <v>30</v>
      </c>
      <c r="I127" s="55">
        <v>300</v>
      </c>
      <c r="J127" s="49" t="s">
        <v>36</v>
      </c>
      <c r="K127" s="49" t="s">
        <v>37</v>
      </c>
      <c r="L127" s="146"/>
      <c r="M127" s="148"/>
      <c r="N127" s="148"/>
      <c r="O127" s="1"/>
      <c r="P127" s="1"/>
      <c r="Q127" s="1"/>
    </row>
    <row r="128" spans="1:17" ht="15.75" customHeight="1">
      <c r="A128" s="49">
        <v>18</v>
      </c>
      <c r="B128" s="49" t="s">
        <v>2687</v>
      </c>
      <c r="C128" s="49" t="s">
        <v>227</v>
      </c>
      <c r="D128" s="49" t="s">
        <v>2688</v>
      </c>
      <c r="E128" s="49" t="s">
        <v>2431</v>
      </c>
      <c r="F128" s="49"/>
      <c r="G128" s="49" t="s">
        <v>35</v>
      </c>
      <c r="H128" s="49">
        <v>1000</v>
      </c>
      <c r="I128" s="55">
        <v>200</v>
      </c>
      <c r="J128" s="49" t="s">
        <v>36</v>
      </c>
      <c r="K128" s="49" t="s">
        <v>37</v>
      </c>
      <c r="L128" s="146"/>
      <c r="M128" s="148">
        <v>200</v>
      </c>
      <c r="N128" s="148"/>
      <c r="O128" s="1"/>
      <c r="P128" s="1"/>
      <c r="Q128" s="1"/>
    </row>
    <row r="129" spans="1:17" ht="15.75" customHeight="1">
      <c r="A129" s="49">
        <v>18</v>
      </c>
      <c r="B129" s="49" t="s">
        <v>871</v>
      </c>
      <c r="C129" s="49" t="s">
        <v>227</v>
      </c>
      <c r="D129" s="49" t="s">
        <v>32</v>
      </c>
      <c r="E129" s="49" t="s">
        <v>235</v>
      </c>
      <c r="F129" s="49"/>
      <c r="G129" s="49" t="s">
        <v>35</v>
      </c>
      <c r="H129" s="49">
        <v>1500</v>
      </c>
      <c r="I129" s="55">
        <v>300</v>
      </c>
      <c r="J129" s="49" t="s">
        <v>36</v>
      </c>
      <c r="K129" s="49" t="s">
        <v>37</v>
      </c>
      <c r="L129" s="146"/>
      <c r="M129" s="148">
        <v>300</v>
      </c>
      <c r="N129" s="148"/>
      <c r="O129" s="1"/>
      <c r="P129" s="1"/>
      <c r="Q129" s="1"/>
    </row>
    <row r="130" spans="1:17" ht="15.75" customHeight="1">
      <c r="A130" s="49">
        <v>18</v>
      </c>
      <c r="B130" s="49" t="s">
        <v>2689</v>
      </c>
      <c r="C130" s="49" t="s">
        <v>227</v>
      </c>
      <c r="D130" s="49" t="s">
        <v>2690</v>
      </c>
      <c r="E130" s="49" t="s">
        <v>51</v>
      </c>
      <c r="F130" s="49"/>
      <c r="G130" s="49" t="s">
        <v>35</v>
      </c>
      <c r="H130" s="49">
        <v>2300</v>
      </c>
      <c r="I130" s="55">
        <v>460</v>
      </c>
      <c r="J130" s="49" t="s">
        <v>36</v>
      </c>
      <c r="K130" s="49" t="s">
        <v>37</v>
      </c>
      <c r="L130" s="146"/>
      <c r="M130" s="148">
        <v>500</v>
      </c>
      <c r="N130" s="148"/>
      <c r="O130" s="1"/>
      <c r="P130" s="1"/>
      <c r="Q130" s="1"/>
    </row>
    <row r="131" spans="1:17" ht="15.75" customHeight="1">
      <c r="A131" s="49">
        <v>18</v>
      </c>
      <c r="B131" s="49" t="s">
        <v>2689</v>
      </c>
      <c r="C131" s="49" t="s">
        <v>227</v>
      </c>
      <c r="D131" s="49" t="s">
        <v>2690</v>
      </c>
      <c r="E131" s="49" t="s">
        <v>51</v>
      </c>
      <c r="F131" s="49"/>
      <c r="G131" s="49" t="s">
        <v>170</v>
      </c>
      <c r="H131" s="50">
        <v>200</v>
      </c>
      <c r="I131" s="55">
        <v>120</v>
      </c>
      <c r="J131" s="49" t="s">
        <v>36</v>
      </c>
      <c r="K131" s="49" t="s">
        <v>37</v>
      </c>
      <c r="L131" s="146"/>
      <c r="M131" s="148"/>
      <c r="N131" s="148"/>
      <c r="O131" s="1"/>
      <c r="P131" s="1"/>
      <c r="Q131" s="1"/>
    </row>
    <row r="132" spans="1:17" ht="15.75" customHeight="1">
      <c r="A132" s="49">
        <v>18</v>
      </c>
      <c r="B132" s="49" t="s">
        <v>2689</v>
      </c>
      <c r="C132" s="49" t="s">
        <v>227</v>
      </c>
      <c r="D132" s="49" t="s">
        <v>2690</v>
      </c>
      <c r="E132" s="49" t="s">
        <v>51</v>
      </c>
      <c r="F132" s="49"/>
      <c r="G132" s="49" t="s">
        <v>2589</v>
      </c>
      <c r="H132" s="50">
        <v>20</v>
      </c>
      <c r="I132" s="55">
        <v>200</v>
      </c>
      <c r="J132" s="49" t="s">
        <v>36</v>
      </c>
      <c r="K132" s="49" t="s">
        <v>37</v>
      </c>
      <c r="L132" s="146"/>
      <c r="M132" s="148"/>
      <c r="N132" s="148"/>
      <c r="O132" s="1"/>
      <c r="P132" s="1"/>
      <c r="Q132" s="1"/>
    </row>
    <row r="133" spans="1:17" ht="15.75" customHeight="1">
      <c r="A133" s="49">
        <v>18</v>
      </c>
      <c r="B133" s="49" t="s">
        <v>1356</v>
      </c>
      <c r="C133" s="49" t="s">
        <v>227</v>
      </c>
      <c r="D133" s="49" t="s">
        <v>2691</v>
      </c>
      <c r="E133" s="49" t="s">
        <v>115</v>
      </c>
      <c r="F133" s="49"/>
      <c r="G133" s="49" t="s">
        <v>35</v>
      </c>
      <c r="H133" s="50">
        <v>2000</v>
      </c>
      <c r="I133" s="55">
        <v>800</v>
      </c>
      <c r="J133" s="49" t="s">
        <v>36</v>
      </c>
      <c r="K133" s="49" t="s">
        <v>37</v>
      </c>
      <c r="L133" s="146"/>
      <c r="M133" s="148">
        <v>400</v>
      </c>
      <c r="N133" s="148"/>
      <c r="O133" s="1"/>
      <c r="P133" s="1"/>
      <c r="Q133" s="1"/>
    </row>
    <row r="134" spans="1:17" ht="15.75" customHeight="1">
      <c r="A134" s="49">
        <v>18</v>
      </c>
      <c r="B134" s="49" t="s">
        <v>2692</v>
      </c>
      <c r="C134" s="49" t="s">
        <v>227</v>
      </c>
      <c r="D134" s="49"/>
      <c r="E134" s="49" t="s">
        <v>158</v>
      </c>
      <c r="F134" s="49"/>
      <c r="G134" s="49" t="s">
        <v>35</v>
      </c>
      <c r="H134" s="50">
        <v>2000</v>
      </c>
      <c r="I134" s="55">
        <v>400</v>
      </c>
      <c r="J134" s="49" t="s">
        <v>36</v>
      </c>
      <c r="K134" s="49" t="s">
        <v>37</v>
      </c>
      <c r="L134" s="146"/>
      <c r="M134" s="148">
        <v>400</v>
      </c>
      <c r="N134" s="148"/>
      <c r="O134" s="1"/>
      <c r="P134" s="1"/>
      <c r="Q134" s="1"/>
    </row>
    <row r="135" spans="1:17" ht="15.75" customHeight="1">
      <c r="A135" s="49">
        <v>18</v>
      </c>
      <c r="B135" s="49" t="s">
        <v>2693</v>
      </c>
      <c r="C135" s="49" t="s">
        <v>227</v>
      </c>
      <c r="D135" s="49" t="s">
        <v>385</v>
      </c>
      <c r="E135" s="49" t="s">
        <v>307</v>
      </c>
      <c r="F135" s="49"/>
      <c r="G135" s="49" t="s">
        <v>35</v>
      </c>
      <c r="H135" s="49">
        <v>2000</v>
      </c>
      <c r="I135" s="55">
        <v>400</v>
      </c>
      <c r="J135" s="49" t="s">
        <v>36</v>
      </c>
      <c r="K135" s="49" t="s">
        <v>37</v>
      </c>
      <c r="L135" s="146"/>
      <c r="M135" s="148">
        <v>400</v>
      </c>
      <c r="N135" s="148"/>
      <c r="O135" s="1"/>
      <c r="P135" s="1"/>
      <c r="Q135" s="1"/>
    </row>
    <row r="136" spans="1:17" ht="15.75" customHeight="1">
      <c r="A136" s="49">
        <v>18</v>
      </c>
      <c r="B136" s="49" t="s">
        <v>2694</v>
      </c>
      <c r="C136" s="49" t="s">
        <v>227</v>
      </c>
      <c r="D136" s="49" t="s">
        <v>2026</v>
      </c>
      <c r="E136" s="49" t="s">
        <v>152</v>
      </c>
      <c r="F136" s="49"/>
      <c r="G136" s="49" t="s">
        <v>35</v>
      </c>
      <c r="H136" s="50">
        <v>1000</v>
      </c>
      <c r="I136" s="55">
        <v>200</v>
      </c>
      <c r="J136" s="49" t="s">
        <v>36</v>
      </c>
      <c r="K136" s="49" t="s">
        <v>37</v>
      </c>
      <c r="L136" s="146"/>
      <c r="M136" s="148">
        <v>200</v>
      </c>
      <c r="N136" s="148"/>
      <c r="O136" s="1"/>
      <c r="P136" s="1"/>
      <c r="Q136" s="1"/>
    </row>
    <row r="137" spans="1:17" ht="15.75" customHeight="1">
      <c r="A137" s="49">
        <v>18</v>
      </c>
      <c r="B137" s="49" t="s">
        <v>2694</v>
      </c>
      <c r="C137" s="49" t="s">
        <v>227</v>
      </c>
      <c r="D137" s="49" t="s">
        <v>2026</v>
      </c>
      <c r="E137" s="49" t="s">
        <v>152</v>
      </c>
      <c r="F137" s="49"/>
      <c r="G137" s="49" t="s">
        <v>2589</v>
      </c>
      <c r="H137" s="49">
        <v>20</v>
      </c>
      <c r="I137" s="55">
        <v>200</v>
      </c>
      <c r="J137" s="49" t="s">
        <v>36</v>
      </c>
      <c r="K137" s="49" t="s">
        <v>37</v>
      </c>
      <c r="L137" s="146"/>
      <c r="M137" s="148"/>
      <c r="N137" s="148"/>
      <c r="O137" s="1"/>
      <c r="P137" s="1"/>
      <c r="Q137" s="1"/>
    </row>
    <row r="138" spans="1:17" ht="15.75" customHeight="1">
      <c r="A138" s="49">
        <v>18</v>
      </c>
      <c r="B138" s="49" t="s">
        <v>2695</v>
      </c>
      <c r="C138" s="49" t="s">
        <v>246</v>
      </c>
      <c r="D138" s="49" t="s">
        <v>743</v>
      </c>
      <c r="E138" s="49" t="s">
        <v>48</v>
      </c>
      <c r="F138" s="49"/>
      <c r="G138" s="49" t="s">
        <v>35</v>
      </c>
      <c r="H138" s="50">
        <v>200</v>
      </c>
      <c r="I138" s="55">
        <v>40</v>
      </c>
      <c r="J138" s="49" t="s">
        <v>36</v>
      </c>
      <c r="K138" s="49" t="s">
        <v>37</v>
      </c>
      <c r="L138" s="146"/>
      <c r="M138" s="148">
        <v>40</v>
      </c>
      <c r="N138" s="148"/>
      <c r="O138" s="4"/>
      <c r="P138" s="1"/>
      <c r="Q138" s="1"/>
    </row>
    <row r="139" spans="1:17" ht="15.75" customHeight="1">
      <c r="A139" s="49">
        <v>18</v>
      </c>
      <c r="B139" s="49" t="s">
        <v>903</v>
      </c>
      <c r="C139" s="49" t="s">
        <v>227</v>
      </c>
      <c r="D139" s="49" t="s">
        <v>32</v>
      </c>
      <c r="E139" s="49" t="s">
        <v>307</v>
      </c>
      <c r="F139" s="49"/>
      <c r="G139" s="49" t="s">
        <v>170</v>
      </c>
      <c r="H139" s="49">
        <v>250</v>
      </c>
      <c r="I139" s="55">
        <v>150</v>
      </c>
      <c r="J139" s="49" t="s">
        <v>36</v>
      </c>
      <c r="K139" s="49" t="s">
        <v>37</v>
      </c>
      <c r="L139" s="146"/>
      <c r="M139" s="148">
        <v>100</v>
      </c>
      <c r="N139" s="148"/>
      <c r="O139" s="1"/>
      <c r="P139" s="1"/>
      <c r="Q139" s="1"/>
    </row>
    <row r="140" spans="1:17" ht="15.75" customHeight="1">
      <c r="A140" s="49">
        <v>18</v>
      </c>
      <c r="B140" s="49" t="s">
        <v>2696</v>
      </c>
      <c r="C140" s="49" t="s">
        <v>227</v>
      </c>
      <c r="D140" s="49" t="s">
        <v>2697</v>
      </c>
      <c r="E140" s="49" t="s">
        <v>193</v>
      </c>
      <c r="F140" s="49"/>
      <c r="G140" s="49" t="s">
        <v>35</v>
      </c>
      <c r="H140" s="50">
        <v>5000</v>
      </c>
      <c r="I140" s="55">
        <v>1000</v>
      </c>
      <c r="J140" s="49" t="s">
        <v>36</v>
      </c>
      <c r="K140" s="49" t="s">
        <v>37</v>
      </c>
      <c r="L140" s="146"/>
      <c r="M140" s="148">
        <v>5000</v>
      </c>
      <c r="N140" s="148"/>
      <c r="O140" s="1"/>
      <c r="P140" s="1"/>
      <c r="Q140" s="1"/>
    </row>
    <row r="141" spans="1:17" ht="15.75" customHeight="1">
      <c r="A141" s="49">
        <v>18</v>
      </c>
      <c r="B141" s="49" t="s">
        <v>2696</v>
      </c>
      <c r="C141" s="49" t="s">
        <v>227</v>
      </c>
      <c r="D141" s="49" t="s">
        <v>2697</v>
      </c>
      <c r="E141" s="49" t="s">
        <v>193</v>
      </c>
      <c r="F141" s="9"/>
      <c r="G141" s="9" t="s">
        <v>170</v>
      </c>
      <c r="H141" s="66">
        <v>1000</v>
      </c>
      <c r="I141" s="153">
        <v>600</v>
      </c>
      <c r="J141" s="49" t="s">
        <v>36</v>
      </c>
      <c r="K141" s="49" t="s">
        <v>37</v>
      </c>
      <c r="L141" s="146"/>
      <c r="M141" s="148"/>
      <c r="N141" s="148"/>
      <c r="O141" s="1"/>
      <c r="P141" s="1"/>
      <c r="Q141" s="1"/>
    </row>
    <row r="142" spans="1:17" ht="15.75" customHeight="1">
      <c r="A142" s="9">
        <v>18</v>
      </c>
      <c r="B142" s="9" t="s">
        <v>2698</v>
      </c>
      <c r="C142" s="9" t="s">
        <v>246</v>
      </c>
      <c r="D142" s="9" t="s">
        <v>1081</v>
      </c>
      <c r="E142" s="9" t="s">
        <v>254</v>
      </c>
      <c r="F142" s="9"/>
      <c r="G142" s="49" t="s">
        <v>35</v>
      </c>
      <c r="H142" s="50">
        <v>600</v>
      </c>
      <c r="I142" s="153">
        <v>120</v>
      </c>
      <c r="J142" s="49" t="s">
        <v>36</v>
      </c>
      <c r="K142" s="49" t="s">
        <v>37</v>
      </c>
      <c r="L142" s="146"/>
      <c r="M142" s="148">
        <v>120</v>
      </c>
      <c r="N142" s="148"/>
      <c r="O142" s="1"/>
      <c r="P142" s="1"/>
      <c r="Q142" s="1"/>
    </row>
    <row r="143" spans="1:17" ht="15.75" customHeight="1">
      <c r="A143" s="9">
        <v>18</v>
      </c>
      <c r="B143" s="9" t="s">
        <v>2698</v>
      </c>
      <c r="C143" s="9" t="s">
        <v>246</v>
      </c>
      <c r="D143" s="9" t="s">
        <v>1081</v>
      </c>
      <c r="E143" s="9" t="s">
        <v>254</v>
      </c>
      <c r="F143" s="9"/>
      <c r="G143" s="49" t="s">
        <v>2589</v>
      </c>
      <c r="H143" s="50">
        <v>15</v>
      </c>
      <c r="I143" s="153">
        <v>150</v>
      </c>
      <c r="J143" s="49" t="s">
        <v>36</v>
      </c>
      <c r="K143" s="49" t="s">
        <v>37</v>
      </c>
      <c r="L143" s="146"/>
      <c r="M143" s="148"/>
      <c r="N143" s="148"/>
      <c r="O143" s="1"/>
      <c r="P143" s="1"/>
      <c r="Q143" s="1"/>
    </row>
    <row r="144" spans="1:17" ht="15.75" customHeight="1">
      <c r="A144" s="9">
        <v>18</v>
      </c>
      <c r="B144" s="9" t="s">
        <v>2699</v>
      </c>
      <c r="C144" s="9" t="s">
        <v>227</v>
      </c>
      <c r="D144" s="9" t="s">
        <v>385</v>
      </c>
      <c r="E144" s="9" t="s">
        <v>235</v>
      </c>
      <c r="F144" s="9"/>
      <c r="G144" s="49" t="s">
        <v>35</v>
      </c>
      <c r="H144" s="50">
        <v>100</v>
      </c>
      <c r="I144" s="153">
        <v>20</v>
      </c>
      <c r="J144" s="49" t="s">
        <v>36</v>
      </c>
      <c r="K144" s="49" t="s">
        <v>37</v>
      </c>
      <c r="L144" s="146"/>
      <c r="M144" s="148">
        <v>10</v>
      </c>
      <c r="N144" s="148"/>
      <c r="O144" s="1"/>
      <c r="P144" s="1"/>
      <c r="Q144" s="1"/>
    </row>
    <row r="145" spans="1:17" ht="15.75" customHeight="1">
      <c r="A145" s="9">
        <v>18</v>
      </c>
      <c r="B145" s="9" t="s">
        <v>2700</v>
      </c>
      <c r="C145" s="9" t="s">
        <v>227</v>
      </c>
      <c r="D145" s="9" t="s">
        <v>784</v>
      </c>
      <c r="E145" s="9" t="s">
        <v>41</v>
      </c>
      <c r="F145" s="9"/>
      <c r="G145" s="49" t="s">
        <v>170</v>
      </c>
      <c r="H145" s="50">
        <v>600</v>
      </c>
      <c r="I145" s="153">
        <v>360</v>
      </c>
      <c r="J145" s="49" t="s">
        <v>36</v>
      </c>
      <c r="K145" s="49" t="s">
        <v>37</v>
      </c>
      <c r="L145" s="146"/>
      <c r="M145" s="148"/>
      <c r="N145" s="148"/>
      <c r="O145" s="1"/>
      <c r="P145" s="1"/>
      <c r="Q145" s="1"/>
    </row>
    <row r="146" spans="1:17" ht="15.75" customHeight="1">
      <c r="A146" s="9">
        <v>18</v>
      </c>
      <c r="B146" s="9" t="s">
        <v>2700</v>
      </c>
      <c r="C146" s="9" t="s">
        <v>227</v>
      </c>
      <c r="D146" s="9" t="s">
        <v>784</v>
      </c>
      <c r="E146" s="9" t="s">
        <v>41</v>
      </c>
      <c r="F146" s="9"/>
      <c r="G146" s="49" t="s">
        <v>2589</v>
      </c>
      <c r="H146" s="50">
        <v>38</v>
      </c>
      <c r="I146" s="153">
        <v>380</v>
      </c>
      <c r="J146" s="49" t="s">
        <v>36</v>
      </c>
      <c r="K146" s="49" t="s">
        <v>37</v>
      </c>
      <c r="L146" s="146"/>
      <c r="M146" s="148"/>
      <c r="N146" s="148"/>
      <c r="O146" s="1"/>
      <c r="P146" s="1"/>
      <c r="Q146" s="1"/>
    </row>
    <row r="147" spans="1:17" ht="15.75" customHeight="1">
      <c r="A147" s="9">
        <v>18</v>
      </c>
      <c r="B147" s="9" t="s">
        <v>2701</v>
      </c>
      <c r="C147" s="9" t="s">
        <v>227</v>
      </c>
      <c r="D147" s="9" t="s">
        <v>2702</v>
      </c>
      <c r="E147" s="9" t="s">
        <v>1884</v>
      </c>
      <c r="F147" s="9"/>
      <c r="G147" s="49" t="s">
        <v>35</v>
      </c>
      <c r="H147" s="50">
        <v>500</v>
      </c>
      <c r="I147" s="153" t="s">
        <v>43</v>
      </c>
      <c r="J147" s="49" t="s">
        <v>36</v>
      </c>
      <c r="K147" s="49" t="s">
        <v>37</v>
      </c>
      <c r="L147" s="146"/>
      <c r="M147" s="148">
        <v>100</v>
      </c>
      <c r="N147" s="148"/>
      <c r="O147" s="1"/>
      <c r="P147" s="1"/>
      <c r="Q147" s="1"/>
    </row>
    <row r="148" spans="1:17" ht="15.75" customHeight="1">
      <c r="A148" s="9">
        <v>18</v>
      </c>
      <c r="B148" s="9" t="s">
        <v>461</v>
      </c>
      <c r="C148" s="9" t="s">
        <v>227</v>
      </c>
      <c r="D148" s="9" t="s">
        <v>462</v>
      </c>
      <c r="E148" s="9" t="s">
        <v>1884</v>
      </c>
      <c r="F148" s="9"/>
      <c r="G148" s="49" t="s">
        <v>35</v>
      </c>
      <c r="H148" s="50">
        <v>10000</v>
      </c>
      <c r="I148" s="153">
        <v>2000</v>
      </c>
      <c r="J148" s="49" t="s">
        <v>36</v>
      </c>
      <c r="K148" s="49" t="s">
        <v>37</v>
      </c>
      <c r="L148" s="146"/>
      <c r="M148" s="148">
        <v>2000</v>
      </c>
      <c r="N148" s="148"/>
      <c r="O148" s="1"/>
      <c r="P148" s="1"/>
      <c r="Q148" s="1"/>
    </row>
    <row r="149" spans="1:17" ht="15.75" customHeight="1">
      <c r="A149" s="9">
        <v>18</v>
      </c>
      <c r="B149" s="9" t="s">
        <v>496</v>
      </c>
      <c r="C149" s="9" t="s">
        <v>227</v>
      </c>
      <c r="D149" s="9" t="s">
        <v>497</v>
      </c>
      <c r="E149" s="9" t="s">
        <v>193</v>
      </c>
      <c r="F149" s="9"/>
      <c r="G149" s="49" t="s">
        <v>35</v>
      </c>
      <c r="H149" s="50">
        <v>25000</v>
      </c>
      <c r="I149" s="153">
        <v>5000</v>
      </c>
      <c r="J149" s="49" t="s">
        <v>36</v>
      </c>
      <c r="K149" s="49" t="s">
        <v>37</v>
      </c>
      <c r="L149" s="146"/>
      <c r="M149" s="148">
        <v>10000</v>
      </c>
      <c r="N149" s="148"/>
      <c r="O149" s="1"/>
      <c r="P149" s="1"/>
      <c r="Q149" s="1"/>
    </row>
    <row r="150" spans="1:17" ht="15.75" customHeight="1">
      <c r="A150" s="9">
        <v>18</v>
      </c>
      <c r="B150" s="9" t="s">
        <v>496</v>
      </c>
      <c r="C150" s="9" t="s">
        <v>227</v>
      </c>
      <c r="D150" s="9" t="s">
        <v>497</v>
      </c>
      <c r="E150" s="9" t="s">
        <v>193</v>
      </c>
      <c r="F150" s="9"/>
      <c r="G150" s="49" t="s">
        <v>170</v>
      </c>
      <c r="H150" s="50">
        <v>500</v>
      </c>
      <c r="I150" s="153">
        <v>300</v>
      </c>
      <c r="J150" s="49" t="s">
        <v>36</v>
      </c>
      <c r="K150" s="49" t="s">
        <v>37</v>
      </c>
      <c r="L150" s="146"/>
      <c r="M150" s="148"/>
      <c r="N150" s="148"/>
      <c r="O150" s="1"/>
      <c r="P150" s="1"/>
      <c r="Q150" s="1"/>
    </row>
    <row r="151" spans="1:17" ht="15.75" customHeight="1">
      <c r="A151" s="9">
        <v>18</v>
      </c>
      <c r="B151" s="9" t="s">
        <v>2703</v>
      </c>
      <c r="C151" s="9" t="s">
        <v>246</v>
      </c>
      <c r="D151" s="9" t="s">
        <v>332</v>
      </c>
      <c r="E151" s="9" t="s">
        <v>193</v>
      </c>
      <c r="F151" s="9"/>
      <c r="G151" s="49" t="s">
        <v>35</v>
      </c>
      <c r="H151" s="50">
        <v>18000</v>
      </c>
      <c r="I151" s="153">
        <v>3600</v>
      </c>
      <c r="J151" s="49" t="s">
        <v>36</v>
      </c>
      <c r="K151" s="49" t="s">
        <v>37</v>
      </c>
      <c r="L151" s="146"/>
      <c r="M151" s="148">
        <v>5000</v>
      </c>
      <c r="N151" s="148"/>
      <c r="O151" s="1"/>
      <c r="P151" s="1"/>
      <c r="Q151" s="1"/>
    </row>
    <row r="152" spans="1:17" ht="15.75" customHeight="1">
      <c r="A152" s="9">
        <v>18</v>
      </c>
      <c r="B152" s="9" t="s">
        <v>2703</v>
      </c>
      <c r="C152" s="9" t="s">
        <v>246</v>
      </c>
      <c r="D152" s="9" t="s">
        <v>332</v>
      </c>
      <c r="E152" s="9" t="s">
        <v>193</v>
      </c>
      <c r="F152" s="101"/>
      <c r="G152" s="134"/>
      <c r="H152" s="135"/>
      <c r="I152" s="102"/>
      <c r="J152" s="49" t="s">
        <v>36</v>
      </c>
      <c r="K152" s="49" t="s">
        <v>37</v>
      </c>
      <c r="L152" s="146"/>
      <c r="M152" s="148"/>
      <c r="N152" s="148"/>
      <c r="O152" s="1"/>
      <c r="P152" s="1"/>
      <c r="Q152" s="1"/>
    </row>
    <row r="153" spans="1:17" ht="15.75" customHeight="1">
      <c r="A153" s="17">
        <v>19</v>
      </c>
      <c r="B153" s="17" t="s">
        <v>726</v>
      </c>
      <c r="C153" s="17" t="s">
        <v>227</v>
      </c>
      <c r="D153" s="17" t="s">
        <v>295</v>
      </c>
      <c r="E153" s="17" t="s">
        <v>248</v>
      </c>
      <c r="F153" s="17"/>
      <c r="G153" s="17" t="s">
        <v>35</v>
      </c>
      <c r="H153" s="116">
        <v>4600</v>
      </c>
      <c r="I153" s="105">
        <v>920</v>
      </c>
      <c r="J153" s="49" t="s">
        <v>36</v>
      </c>
      <c r="K153" s="49" t="s">
        <v>37</v>
      </c>
      <c r="L153" s="146"/>
      <c r="M153" s="148">
        <v>600</v>
      </c>
      <c r="N153" s="148"/>
      <c r="O153" s="151"/>
      <c r="P153" s="1"/>
      <c r="Q153" s="4"/>
    </row>
    <row r="154" spans="1:17" ht="15.75" customHeight="1">
      <c r="A154" s="49">
        <v>19</v>
      </c>
      <c r="B154" s="49" t="s">
        <v>2704</v>
      </c>
      <c r="C154" s="49" t="s">
        <v>227</v>
      </c>
      <c r="D154" s="49" t="s">
        <v>79</v>
      </c>
      <c r="E154" s="49" t="s">
        <v>80</v>
      </c>
      <c r="F154" s="49"/>
      <c r="G154" s="49" t="s">
        <v>35</v>
      </c>
      <c r="H154" s="50">
        <v>6000</v>
      </c>
      <c r="I154" s="55">
        <v>1200</v>
      </c>
      <c r="J154" s="49" t="s">
        <v>36</v>
      </c>
      <c r="K154" s="49" t="s">
        <v>37</v>
      </c>
      <c r="L154" s="146"/>
      <c r="M154" s="148">
        <v>1200</v>
      </c>
      <c r="N154" s="148"/>
      <c r="O154" s="4"/>
      <c r="P154" s="1"/>
      <c r="Q154" s="1"/>
    </row>
    <row r="155" spans="1:17" ht="15.75" customHeight="1">
      <c r="A155" s="49">
        <v>19</v>
      </c>
      <c r="B155" s="49" t="s">
        <v>2704</v>
      </c>
      <c r="C155" s="49" t="s">
        <v>227</v>
      </c>
      <c r="D155" s="49" t="s">
        <v>79</v>
      </c>
      <c r="E155" s="49" t="s">
        <v>80</v>
      </c>
      <c r="F155" s="49"/>
      <c r="G155" s="49" t="s">
        <v>2589</v>
      </c>
      <c r="H155" s="49">
        <v>10</v>
      </c>
      <c r="I155" s="55">
        <v>100</v>
      </c>
      <c r="J155" s="49" t="s">
        <v>36</v>
      </c>
      <c r="K155" s="49" t="s">
        <v>37</v>
      </c>
      <c r="L155" s="146"/>
      <c r="M155" s="148"/>
      <c r="N155" s="148"/>
      <c r="O155" s="1"/>
      <c r="P155" s="1"/>
      <c r="Q155" s="4"/>
    </row>
    <row r="156" spans="1:17" ht="15.75" customHeight="1">
      <c r="A156" s="49">
        <v>19</v>
      </c>
      <c r="B156" s="49" t="s">
        <v>2705</v>
      </c>
      <c r="C156" s="49" t="s">
        <v>227</v>
      </c>
      <c r="D156" s="49" t="s">
        <v>758</v>
      </c>
      <c r="E156" s="49" t="s">
        <v>51</v>
      </c>
      <c r="F156" s="49"/>
      <c r="G156" s="49" t="s">
        <v>35</v>
      </c>
      <c r="H156" s="50">
        <v>50</v>
      </c>
      <c r="I156" s="55">
        <v>10</v>
      </c>
      <c r="J156" s="49" t="s">
        <v>36</v>
      </c>
      <c r="K156" s="49" t="s">
        <v>37</v>
      </c>
      <c r="L156" s="146"/>
      <c r="M156" s="148">
        <v>50</v>
      </c>
      <c r="N156" s="148"/>
      <c r="O156" s="4"/>
      <c r="P156" s="1"/>
      <c r="Q156" s="1"/>
    </row>
    <row r="157" spans="1:17" ht="15.75" customHeight="1">
      <c r="A157" s="49">
        <v>19</v>
      </c>
      <c r="B157" s="49" t="s">
        <v>2705</v>
      </c>
      <c r="C157" s="49" t="s">
        <v>227</v>
      </c>
      <c r="D157" s="49" t="s">
        <v>758</v>
      </c>
      <c r="E157" s="49" t="s">
        <v>51</v>
      </c>
      <c r="F157" s="49"/>
      <c r="G157" s="49" t="s">
        <v>2589</v>
      </c>
      <c r="H157" s="49">
        <v>10</v>
      </c>
      <c r="I157" s="55">
        <v>100</v>
      </c>
      <c r="J157" s="49" t="s">
        <v>36</v>
      </c>
      <c r="K157" s="49" t="s">
        <v>37</v>
      </c>
      <c r="L157" s="146"/>
      <c r="M157" s="148"/>
      <c r="N157" s="148"/>
      <c r="O157" s="4"/>
      <c r="P157" s="1"/>
      <c r="Q157" s="1"/>
    </row>
    <row r="158" spans="1:17" ht="15.75" customHeight="1">
      <c r="A158" s="49">
        <v>19</v>
      </c>
      <c r="B158" s="49" t="s">
        <v>42</v>
      </c>
      <c r="C158" s="49" t="s">
        <v>227</v>
      </c>
      <c r="D158" s="49" t="s">
        <v>2706</v>
      </c>
      <c r="E158" s="49" t="s">
        <v>2707</v>
      </c>
      <c r="F158" s="49"/>
      <c r="G158" s="49" t="s">
        <v>35</v>
      </c>
      <c r="H158" s="49">
        <v>4000</v>
      </c>
      <c r="I158" s="55">
        <v>800</v>
      </c>
      <c r="J158" s="49" t="s">
        <v>36</v>
      </c>
      <c r="K158" s="49" t="s">
        <v>37</v>
      </c>
      <c r="L158" s="146"/>
      <c r="M158" s="148">
        <v>900</v>
      </c>
      <c r="N158" s="148"/>
      <c r="O158" s="1"/>
      <c r="P158" s="1"/>
      <c r="Q158" s="1"/>
    </row>
    <row r="159" spans="1:17" ht="15.75" customHeight="1">
      <c r="A159" s="49">
        <v>19</v>
      </c>
      <c r="B159" s="49" t="s">
        <v>542</v>
      </c>
      <c r="C159" s="49" t="s">
        <v>227</v>
      </c>
      <c r="D159" s="49" t="s">
        <v>354</v>
      </c>
      <c r="E159" s="49" t="s">
        <v>251</v>
      </c>
      <c r="F159" s="49"/>
      <c r="G159" s="49" t="s">
        <v>2708</v>
      </c>
      <c r="H159" s="50">
        <v>500</v>
      </c>
      <c r="I159" s="55">
        <v>500</v>
      </c>
      <c r="J159" s="49" t="s">
        <v>36</v>
      </c>
      <c r="K159" s="49" t="s">
        <v>37</v>
      </c>
      <c r="L159" s="146"/>
      <c r="M159" s="148"/>
      <c r="N159" s="148"/>
      <c r="O159" s="1"/>
      <c r="P159" s="1"/>
      <c r="Q159" s="1"/>
    </row>
    <row r="160" spans="1:17" ht="15.75" customHeight="1">
      <c r="A160" s="49">
        <v>19</v>
      </c>
      <c r="B160" s="49" t="s">
        <v>2709</v>
      </c>
      <c r="C160" s="49" t="s">
        <v>227</v>
      </c>
      <c r="D160" s="49" t="s">
        <v>2710</v>
      </c>
      <c r="E160" s="49" t="s">
        <v>158</v>
      </c>
      <c r="F160" s="49"/>
      <c r="G160" s="49" t="s">
        <v>35</v>
      </c>
      <c r="H160" s="49">
        <v>2000</v>
      </c>
      <c r="I160" s="55">
        <v>400</v>
      </c>
      <c r="J160" s="49" t="s">
        <v>36</v>
      </c>
      <c r="K160" s="49" t="s">
        <v>37</v>
      </c>
      <c r="L160" s="146"/>
      <c r="M160" s="148">
        <v>400</v>
      </c>
      <c r="N160" s="148"/>
      <c r="O160" s="1"/>
      <c r="P160" s="1"/>
      <c r="Q160" s="1"/>
    </row>
    <row r="161" spans="1:26" ht="15.75" customHeight="1">
      <c r="A161" s="49">
        <v>19</v>
      </c>
      <c r="B161" s="49" t="s">
        <v>2709</v>
      </c>
      <c r="C161" s="49" t="s">
        <v>227</v>
      </c>
      <c r="D161" s="49" t="s">
        <v>2710</v>
      </c>
      <c r="E161" s="49" t="s">
        <v>158</v>
      </c>
      <c r="F161" s="49"/>
      <c r="G161" s="49" t="s">
        <v>170</v>
      </c>
      <c r="H161" s="50">
        <v>100</v>
      </c>
      <c r="I161" s="55">
        <v>60</v>
      </c>
      <c r="J161" s="49" t="s">
        <v>36</v>
      </c>
      <c r="K161" s="49" t="s">
        <v>37</v>
      </c>
      <c r="L161" s="146"/>
      <c r="M161" s="148"/>
      <c r="N161" s="148"/>
      <c r="O161" s="4"/>
      <c r="P161" s="1"/>
      <c r="Q161" s="1"/>
    </row>
    <row r="162" spans="1:26" ht="15.75" customHeight="1">
      <c r="A162" s="49">
        <v>19</v>
      </c>
      <c r="B162" s="49" t="s">
        <v>477</v>
      </c>
      <c r="C162" s="49" t="s">
        <v>246</v>
      </c>
      <c r="D162" s="49" t="s">
        <v>264</v>
      </c>
      <c r="E162" s="49" t="s">
        <v>184</v>
      </c>
      <c r="F162" s="49"/>
      <c r="G162" s="49" t="s">
        <v>35</v>
      </c>
      <c r="H162" s="49">
        <v>6000</v>
      </c>
      <c r="I162" s="55">
        <v>1200</v>
      </c>
      <c r="J162" s="49" t="s">
        <v>36</v>
      </c>
      <c r="K162" s="49" t="s">
        <v>37</v>
      </c>
      <c r="L162" s="146"/>
      <c r="M162" s="148">
        <v>1200</v>
      </c>
      <c r="N162" s="148"/>
    </row>
    <row r="163" spans="1:26" ht="15.75" customHeight="1">
      <c r="A163" s="49">
        <v>19</v>
      </c>
      <c r="B163" s="49" t="s">
        <v>477</v>
      </c>
      <c r="C163" s="49" t="s">
        <v>246</v>
      </c>
      <c r="D163" s="49" t="s">
        <v>264</v>
      </c>
      <c r="E163" s="49" t="s">
        <v>184</v>
      </c>
      <c r="F163" s="49"/>
      <c r="G163" s="49" t="s">
        <v>2589</v>
      </c>
      <c r="H163" s="49">
        <v>5</v>
      </c>
      <c r="I163" s="55">
        <v>50</v>
      </c>
      <c r="J163" s="49" t="s">
        <v>36</v>
      </c>
      <c r="K163" s="49" t="s">
        <v>37</v>
      </c>
      <c r="L163" s="146"/>
      <c r="M163" s="148"/>
      <c r="N163" s="148"/>
    </row>
    <row r="164" spans="1:26" ht="15.75" customHeight="1">
      <c r="A164" s="49">
        <v>19</v>
      </c>
      <c r="B164" s="49" t="s">
        <v>698</v>
      </c>
      <c r="C164" s="49" t="s">
        <v>227</v>
      </c>
      <c r="D164" s="49" t="s">
        <v>33</v>
      </c>
      <c r="E164" s="49" t="s">
        <v>507</v>
      </c>
      <c r="F164" s="49"/>
      <c r="G164" s="49" t="s">
        <v>35</v>
      </c>
      <c r="H164" s="50">
        <v>4000</v>
      </c>
      <c r="I164" s="55">
        <v>800</v>
      </c>
      <c r="J164" s="49" t="s">
        <v>36</v>
      </c>
      <c r="K164" s="49" t="s">
        <v>37</v>
      </c>
      <c r="L164" s="146"/>
      <c r="M164" s="148">
        <v>2500</v>
      </c>
      <c r="N164" s="148"/>
      <c r="O164" s="4"/>
    </row>
    <row r="165" spans="1:26" ht="15.75" customHeight="1">
      <c r="A165" s="49">
        <v>19</v>
      </c>
      <c r="B165" s="49" t="s">
        <v>2711</v>
      </c>
      <c r="C165" s="49" t="s">
        <v>227</v>
      </c>
      <c r="D165" s="49" t="s">
        <v>819</v>
      </c>
      <c r="E165" s="49" t="s">
        <v>232</v>
      </c>
      <c r="F165" s="49"/>
      <c r="G165" s="49" t="s">
        <v>35</v>
      </c>
      <c r="H165" s="50">
        <v>2000</v>
      </c>
      <c r="I165" s="55">
        <v>400</v>
      </c>
      <c r="J165" s="49" t="s">
        <v>36</v>
      </c>
      <c r="K165" s="49" t="s">
        <v>37</v>
      </c>
      <c r="L165" s="146"/>
      <c r="M165" s="148">
        <v>450</v>
      </c>
      <c r="N165" s="148"/>
    </row>
    <row r="166" spans="1:26" ht="15.75" customHeight="1">
      <c r="A166" s="49">
        <v>19</v>
      </c>
      <c r="B166" s="49" t="s">
        <v>2711</v>
      </c>
      <c r="C166" s="49" t="s">
        <v>227</v>
      </c>
      <c r="D166" s="49" t="s">
        <v>819</v>
      </c>
      <c r="E166" s="49" t="s">
        <v>232</v>
      </c>
      <c r="F166" s="49"/>
      <c r="G166" s="49"/>
      <c r="H166" s="50">
        <v>500</v>
      </c>
      <c r="I166" s="55" t="s">
        <v>43</v>
      </c>
      <c r="J166" s="49" t="s">
        <v>36</v>
      </c>
      <c r="K166" s="49" t="s">
        <v>37</v>
      </c>
      <c r="L166" s="146"/>
      <c r="M166" s="148"/>
      <c r="N166" s="148"/>
    </row>
    <row r="167" spans="1:26" ht="15.75" customHeight="1">
      <c r="A167" s="49">
        <v>19</v>
      </c>
      <c r="B167" s="49" t="s">
        <v>2711</v>
      </c>
      <c r="C167" s="49" t="s">
        <v>227</v>
      </c>
      <c r="D167" s="49" t="s">
        <v>819</v>
      </c>
      <c r="E167" s="49" t="s">
        <v>232</v>
      </c>
      <c r="F167" s="49"/>
      <c r="G167" s="49" t="s">
        <v>170</v>
      </c>
      <c r="H167" s="50">
        <v>500</v>
      </c>
      <c r="I167" s="55">
        <v>300</v>
      </c>
      <c r="J167" s="49" t="s">
        <v>36</v>
      </c>
      <c r="K167" s="49" t="s">
        <v>37</v>
      </c>
      <c r="L167" s="146"/>
      <c r="M167" s="148"/>
      <c r="N167" s="148"/>
      <c r="O167" s="4"/>
    </row>
    <row r="168" spans="1:26" ht="15.75" customHeight="1">
      <c r="A168" s="49">
        <v>19</v>
      </c>
      <c r="B168" s="49" t="s">
        <v>2598</v>
      </c>
      <c r="C168" s="49" t="s">
        <v>227</v>
      </c>
      <c r="D168" s="49" t="s">
        <v>2599</v>
      </c>
      <c r="E168" s="49" t="s">
        <v>241</v>
      </c>
      <c r="F168" s="49"/>
      <c r="G168" s="49" t="s">
        <v>35</v>
      </c>
      <c r="H168" s="50">
        <v>1000</v>
      </c>
      <c r="I168" s="55">
        <v>200</v>
      </c>
      <c r="J168" s="49" t="s">
        <v>36</v>
      </c>
      <c r="K168" s="49" t="s">
        <v>37</v>
      </c>
      <c r="L168" s="146"/>
      <c r="M168" s="148">
        <v>200</v>
      </c>
      <c r="N168" s="148"/>
      <c r="O168" s="4"/>
    </row>
    <row r="169" spans="1:26" ht="15.75" customHeight="1">
      <c r="A169" s="49">
        <v>19</v>
      </c>
      <c r="B169" s="49" t="s">
        <v>2598</v>
      </c>
      <c r="C169" s="49" t="s">
        <v>227</v>
      </c>
      <c r="D169" s="49" t="s">
        <v>2599</v>
      </c>
      <c r="E169" s="49" t="s">
        <v>241</v>
      </c>
      <c r="F169" s="49"/>
      <c r="G169" s="49" t="s">
        <v>170</v>
      </c>
      <c r="H169" s="50">
        <v>100</v>
      </c>
      <c r="I169" s="55">
        <v>60</v>
      </c>
      <c r="J169" s="49" t="s">
        <v>36</v>
      </c>
      <c r="K169" s="49" t="s">
        <v>37</v>
      </c>
      <c r="L169" s="146"/>
      <c r="M169" s="148"/>
      <c r="N169" s="148"/>
      <c r="O169" s="4"/>
    </row>
    <row r="170" spans="1:26" ht="15.75" customHeight="1">
      <c r="A170" s="49">
        <v>19</v>
      </c>
      <c r="B170" s="49" t="s">
        <v>2712</v>
      </c>
      <c r="C170" s="49" t="s">
        <v>227</v>
      </c>
      <c r="D170" s="49" t="s">
        <v>2713</v>
      </c>
      <c r="E170" s="49" t="s">
        <v>41</v>
      </c>
      <c r="F170" s="49"/>
      <c r="G170" s="49" t="s">
        <v>35</v>
      </c>
      <c r="H170" s="50">
        <v>500</v>
      </c>
      <c r="I170" s="55" t="s">
        <v>43</v>
      </c>
      <c r="J170" s="49" t="s">
        <v>36</v>
      </c>
      <c r="K170" s="49" t="s">
        <v>37</v>
      </c>
      <c r="L170" s="146"/>
      <c r="M170" s="148">
        <v>100</v>
      </c>
      <c r="N170" s="148"/>
      <c r="O170" s="4"/>
    </row>
    <row r="171" spans="1:26" ht="15.75" customHeight="1">
      <c r="A171" s="49">
        <v>19</v>
      </c>
      <c r="B171" s="49" t="s">
        <v>2714</v>
      </c>
      <c r="C171" s="49" t="s">
        <v>227</v>
      </c>
      <c r="D171" s="49" t="s">
        <v>2713</v>
      </c>
      <c r="E171" s="49" t="s">
        <v>41</v>
      </c>
      <c r="F171" s="49"/>
      <c r="G171" s="49" t="s">
        <v>35</v>
      </c>
      <c r="H171" s="50">
        <v>500</v>
      </c>
      <c r="I171" s="55" t="s">
        <v>43</v>
      </c>
      <c r="J171" s="49" t="s">
        <v>36</v>
      </c>
      <c r="K171" s="49" t="s">
        <v>37</v>
      </c>
      <c r="L171" s="146"/>
      <c r="M171" s="148">
        <v>100</v>
      </c>
      <c r="N171" s="148"/>
      <c r="O171" s="4"/>
    </row>
    <row r="172" spans="1:26" ht="15.75" customHeight="1">
      <c r="A172" s="49">
        <v>19</v>
      </c>
      <c r="B172" s="49" t="s">
        <v>2715</v>
      </c>
      <c r="C172" s="49" t="s">
        <v>227</v>
      </c>
      <c r="D172" s="49" t="s">
        <v>2713</v>
      </c>
      <c r="E172" s="49" t="s">
        <v>41</v>
      </c>
      <c r="F172" s="49"/>
      <c r="G172" s="49" t="s">
        <v>35</v>
      </c>
      <c r="H172" s="49">
        <v>500</v>
      </c>
      <c r="I172" s="55" t="s">
        <v>43</v>
      </c>
      <c r="J172" s="49" t="s">
        <v>36</v>
      </c>
      <c r="K172" s="49" t="s">
        <v>37</v>
      </c>
      <c r="L172" s="146"/>
      <c r="M172" s="148">
        <v>110</v>
      </c>
      <c r="N172" s="148"/>
      <c r="O172" s="4"/>
    </row>
    <row r="173" spans="1:26" ht="15.75" customHeight="1">
      <c r="A173" s="49">
        <v>19</v>
      </c>
      <c r="B173" s="49" t="s">
        <v>2716</v>
      </c>
      <c r="C173" s="49" t="s">
        <v>227</v>
      </c>
      <c r="D173" s="49" t="s">
        <v>2713</v>
      </c>
      <c r="E173" s="49" t="s">
        <v>41</v>
      </c>
      <c r="F173" s="49"/>
      <c r="G173" s="49" t="s">
        <v>35</v>
      </c>
      <c r="H173" s="50">
        <v>500</v>
      </c>
      <c r="I173" s="55" t="s">
        <v>43</v>
      </c>
      <c r="J173" s="49" t="s">
        <v>36</v>
      </c>
      <c r="K173" s="49" t="s">
        <v>37</v>
      </c>
      <c r="L173" s="146"/>
      <c r="M173" s="148">
        <v>110</v>
      </c>
      <c r="N173" s="148"/>
      <c r="O173" s="4"/>
    </row>
    <row r="174" spans="1:26" ht="15.75" customHeight="1">
      <c r="A174" s="49">
        <v>19</v>
      </c>
      <c r="B174" s="49" t="s">
        <v>2717</v>
      </c>
      <c r="C174" s="49" t="s">
        <v>227</v>
      </c>
      <c r="D174" s="49" t="s">
        <v>2713</v>
      </c>
      <c r="E174" s="49" t="s">
        <v>41</v>
      </c>
      <c r="F174" s="49"/>
      <c r="G174" s="49" t="s">
        <v>35</v>
      </c>
      <c r="H174" s="50">
        <v>500</v>
      </c>
      <c r="I174" s="55" t="s">
        <v>43</v>
      </c>
      <c r="J174" s="49" t="s">
        <v>36</v>
      </c>
      <c r="K174" s="49" t="s">
        <v>37</v>
      </c>
      <c r="L174" s="146"/>
      <c r="M174" s="148">
        <v>100</v>
      </c>
      <c r="N174" s="148"/>
      <c r="O174" s="4"/>
    </row>
    <row r="175" spans="1:26" ht="15.75" customHeight="1">
      <c r="A175" s="101">
        <v>19</v>
      </c>
      <c r="B175" s="9" t="s">
        <v>2718</v>
      </c>
      <c r="C175" s="9" t="s">
        <v>227</v>
      </c>
      <c r="D175" s="9" t="s">
        <v>2713</v>
      </c>
      <c r="E175" s="9" t="s">
        <v>41</v>
      </c>
      <c r="F175" s="9"/>
      <c r="G175" s="9" t="s">
        <v>35</v>
      </c>
      <c r="H175" s="9">
        <v>500</v>
      </c>
      <c r="I175" s="153" t="s">
        <v>43</v>
      </c>
      <c r="J175" s="49" t="s">
        <v>36</v>
      </c>
      <c r="K175" s="49" t="s">
        <v>37</v>
      </c>
      <c r="L175" s="146"/>
      <c r="M175" s="148">
        <v>110</v>
      </c>
      <c r="N175" s="148"/>
      <c r="O175" s="4"/>
    </row>
    <row r="176" spans="1:26" ht="15.75" customHeight="1">
      <c r="A176" s="30">
        <v>20</v>
      </c>
      <c r="B176" s="49" t="s">
        <v>2719</v>
      </c>
      <c r="C176" s="49" t="s">
        <v>227</v>
      </c>
      <c r="D176" s="49" t="s">
        <v>385</v>
      </c>
      <c r="E176" s="49" t="s">
        <v>386</v>
      </c>
      <c r="F176" s="49"/>
      <c r="G176" s="49" t="s">
        <v>35</v>
      </c>
      <c r="H176" s="49">
        <v>2000</v>
      </c>
      <c r="I176" s="55">
        <v>400</v>
      </c>
      <c r="J176" s="49" t="s">
        <v>36</v>
      </c>
      <c r="K176" s="49" t="s">
        <v>37</v>
      </c>
      <c r="L176" s="152"/>
      <c r="M176" s="148">
        <v>400</v>
      </c>
      <c r="N176" s="148"/>
      <c r="O176" s="151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spans="1:26" ht="15.75" customHeight="1">
      <c r="A177" s="30">
        <v>20</v>
      </c>
      <c r="B177" s="49" t="s">
        <v>2719</v>
      </c>
      <c r="C177" s="49" t="s">
        <v>227</v>
      </c>
      <c r="D177" s="49" t="s">
        <v>385</v>
      </c>
      <c r="E177" s="49" t="s">
        <v>386</v>
      </c>
      <c r="F177" s="49"/>
      <c r="G177" s="49" t="s">
        <v>2589</v>
      </c>
      <c r="H177" s="49">
        <v>5</v>
      </c>
      <c r="I177" s="55">
        <v>50</v>
      </c>
      <c r="J177" s="49" t="s">
        <v>36</v>
      </c>
      <c r="K177" s="49" t="s">
        <v>37</v>
      </c>
      <c r="L177" s="152"/>
      <c r="M177" s="148"/>
      <c r="N177" s="148"/>
      <c r="O177" s="151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spans="1:26" ht="15.75" customHeight="1">
      <c r="A178" s="30">
        <v>20</v>
      </c>
      <c r="B178" s="49" t="s">
        <v>2720</v>
      </c>
      <c r="C178" s="49" t="s">
        <v>227</v>
      </c>
      <c r="D178" s="49" t="s">
        <v>736</v>
      </c>
      <c r="E178" s="49" t="s">
        <v>248</v>
      </c>
      <c r="F178" s="49"/>
      <c r="G178" s="49" t="s">
        <v>35</v>
      </c>
      <c r="H178" s="49">
        <v>3000</v>
      </c>
      <c r="I178" s="55">
        <v>600</v>
      </c>
      <c r="J178" s="49" t="s">
        <v>36</v>
      </c>
      <c r="K178" s="49" t="s">
        <v>37</v>
      </c>
      <c r="L178" s="152"/>
      <c r="M178" s="148">
        <v>600</v>
      </c>
      <c r="N178" s="148"/>
      <c r="O178" s="151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spans="1:26" ht="15.75" customHeight="1">
      <c r="A179" s="30">
        <v>20</v>
      </c>
      <c r="B179" s="49" t="s">
        <v>2720</v>
      </c>
      <c r="C179" s="49" t="s">
        <v>227</v>
      </c>
      <c r="D179" s="49" t="s">
        <v>736</v>
      </c>
      <c r="E179" s="49" t="s">
        <v>248</v>
      </c>
      <c r="F179" s="49"/>
      <c r="G179" s="49" t="s">
        <v>2589</v>
      </c>
      <c r="H179" s="49">
        <v>15</v>
      </c>
      <c r="I179" s="55">
        <v>150</v>
      </c>
      <c r="J179" s="49" t="s">
        <v>36</v>
      </c>
      <c r="K179" s="49" t="s">
        <v>37</v>
      </c>
      <c r="L179" s="152"/>
      <c r="M179" s="148"/>
      <c r="N179" s="148"/>
      <c r="O179" s="151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spans="1:26" ht="15.75" customHeight="1">
      <c r="A180" s="30">
        <v>20</v>
      </c>
      <c r="B180" s="49" t="s">
        <v>2720</v>
      </c>
      <c r="C180" s="49" t="s">
        <v>227</v>
      </c>
      <c r="D180" s="49" t="s">
        <v>736</v>
      </c>
      <c r="E180" s="49" t="s">
        <v>248</v>
      </c>
      <c r="F180" s="49"/>
      <c r="G180" s="49" t="s">
        <v>2721</v>
      </c>
      <c r="H180" s="49">
        <v>15</v>
      </c>
      <c r="I180" s="55">
        <v>45</v>
      </c>
      <c r="J180" s="49" t="s">
        <v>36</v>
      </c>
      <c r="K180" s="49" t="s">
        <v>37</v>
      </c>
      <c r="L180" s="152"/>
      <c r="M180" s="148"/>
      <c r="N180" s="148"/>
      <c r="O180" s="151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spans="1:26" ht="15.75" customHeight="1">
      <c r="A181" s="30">
        <v>20</v>
      </c>
      <c r="B181" s="49" t="s">
        <v>2722</v>
      </c>
      <c r="C181" s="49" t="s">
        <v>227</v>
      </c>
      <c r="D181" s="49" t="s">
        <v>2723</v>
      </c>
      <c r="E181" s="49" t="s">
        <v>48</v>
      </c>
      <c r="F181" s="49"/>
      <c r="G181" s="49" t="s">
        <v>35</v>
      </c>
      <c r="H181" s="50">
        <v>1000</v>
      </c>
      <c r="I181" s="55">
        <v>200</v>
      </c>
      <c r="J181" s="49" t="s">
        <v>36</v>
      </c>
      <c r="K181" s="49" t="s">
        <v>37</v>
      </c>
      <c r="L181" s="146"/>
      <c r="M181" s="148">
        <v>200</v>
      </c>
      <c r="N181" s="148"/>
      <c r="O181" s="4"/>
    </row>
    <row r="182" spans="1:26" ht="15.75" customHeight="1">
      <c r="A182" s="30">
        <v>20</v>
      </c>
      <c r="B182" s="49" t="s">
        <v>2724</v>
      </c>
      <c r="C182" s="49" t="s">
        <v>227</v>
      </c>
      <c r="D182" s="49" t="s">
        <v>396</v>
      </c>
      <c r="E182" s="49" t="s">
        <v>307</v>
      </c>
      <c r="F182" s="49"/>
      <c r="G182" s="49" t="s">
        <v>35</v>
      </c>
      <c r="H182" s="49">
        <v>2000</v>
      </c>
      <c r="I182" s="55">
        <v>400</v>
      </c>
      <c r="J182" s="49" t="s">
        <v>36</v>
      </c>
      <c r="K182" s="49" t="s">
        <v>37</v>
      </c>
      <c r="L182" s="146"/>
      <c r="M182" s="148">
        <v>300</v>
      </c>
      <c r="N182" s="148"/>
      <c r="O182" s="4"/>
    </row>
    <row r="183" spans="1:26" ht="15.75" customHeight="1">
      <c r="A183" s="30">
        <v>20</v>
      </c>
      <c r="B183" s="49" t="s">
        <v>2724</v>
      </c>
      <c r="C183" s="49" t="s">
        <v>227</v>
      </c>
      <c r="D183" s="49" t="s">
        <v>396</v>
      </c>
      <c r="E183" s="49" t="s">
        <v>307</v>
      </c>
      <c r="F183" s="49"/>
      <c r="G183" s="49" t="s">
        <v>2589</v>
      </c>
      <c r="H183" s="49">
        <v>10</v>
      </c>
      <c r="I183" s="55">
        <v>100</v>
      </c>
      <c r="J183" s="49" t="s">
        <v>36</v>
      </c>
      <c r="K183" s="49" t="s">
        <v>37</v>
      </c>
      <c r="L183" s="146"/>
      <c r="M183" s="148"/>
      <c r="N183" s="148"/>
    </row>
    <row r="184" spans="1:26" ht="15.75" customHeight="1">
      <c r="A184" s="30">
        <v>20</v>
      </c>
      <c r="B184" s="49" t="s">
        <v>2665</v>
      </c>
      <c r="C184" s="49" t="s">
        <v>227</v>
      </c>
      <c r="D184" s="49" t="s">
        <v>205</v>
      </c>
      <c r="E184" s="49" t="s">
        <v>199</v>
      </c>
      <c r="F184" s="49"/>
      <c r="G184" s="49" t="s">
        <v>35</v>
      </c>
      <c r="H184" s="50">
        <v>2000</v>
      </c>
      <c r="I184" s="55">
        <v>400</v>
      </c>
      <c r="J184" s="49" t="s">
        <v>36</v>
      </c>
      <c r="K184" s="49" t="s">
        <v>37</v>
      </c>
      <c r="L184" s="146"/>
      <c r="M184" s="148">
        <v>1000</v>
      </c>
      <c r="N184" s="148"/>
      <c r="O184" s="4"/>
    </row>
    <row r="185" spans="1:26" ht="15.75" customHeight="1">
      <c r="A185" s="30">
        <v>20</v>
      </c>
      <c r="B185" s="49" t="s">
        <v>2725</v>
      </c>
      <c r="C185" s="49" t="s">
        <v>227</v>
      </c>
      <c r="D185" s="49" t="s">
        <v>277</v>
      </c>
      <c r="E185" s="49" t="s">
        <v>232</v>
      </c>
      <c r="F185" s="49"/>
      <c r="G185" s="49" t="s">
        <v>35</v>
      </c>
      <c r="H185" s="50">
        <v>3000</v>
      </c>
      <c r="I185" s="55">
        <v>600</v>
      </c>
      <c r="J185" s="49" t="s">
        <v>36</v>
      </c>
      <c r="K185" s="49" t="s">
        <v>37</v>
      </c>
      <c r="L185" s="146"/>
      <c r="M185" s="148">
        <v>500</v>
      </c>
      <c r="N185" s="148"/>
      <c r="O185" s="4"/>
    </row>
    <row r="186" spans="1:26" ht="15.75" customHeight="1">
      <c r="A186" s="101">
        <v>20</v>
      </c>
      <c r="B186" s="101" t="s">
        <v>2726</v>
      </c>
      <c r="C186" s="101" t="s">
        <v>227</v>
      </c>
      <c r="D186" s="101" t="s">
        <v>2460</v>
      </c>
      <c r="E186" s="101" t="s">
        <v>323</v>
      </c>
      <c r="F186" s="101"/>
      <c r="G186" s="101" t="s">
        <v>35</v>
      </c>
      <c r="H186" s="101">
        <v>400</v>
      </c>
      <c r="I186" s="102">
        <v>80</v>
      </c>
      <c r="J186" s="49" t="s">
        <v>36</v>
      </c>
      <c r="K186" s="49" t="s">
        <v>37</v>
      </c>
      <c r="L186" s="146"/>
      <c r="M186" s="148">
        <v>150</v>
      </c>
      <c r="N186" s="148"/>
    </row>
    <row r="187" spans="1:26" ht="15.75" customHeight="1">
      <c r="A187" s="17">
        <v>21</v>
      </c>
      <c r="B187" s="17" t="s">
        <v>1562</v>
      </c>
      <c r="C187" s="17" t="s">
        <v>227</v>
      </c>
      <c r="D187" s="17" t="s">
        <v>736</v>
      </c>
      <c r="E187" s="17" t="s">
        <v>248</v>
      </c>
      <c r="F187" s="17"/>
      <c r="G187" s="17" t="s">
        <v>35</v>
      </c>
      <c r="H187" s="116">
        <v>10000</v>
      </c>
      <c r="I187" s="105">
        <v>2000</v>
      </c>
      <c r="J187" s="49" t="s">
        <v>36</v>
      </c>
      <c r="K187" s="49" t="s">
        <v>37</v>
      </c>
      <c r="L187" s="146"/>
      <c r="M187" s="148">
        <v>2000</v>
      </c>
      <c r="N187" s="148"/>
      <c r="O187" s="4"/>
    </row>
    <row r="188" spans="1:26" ht="15.75" customHeight="1">
      <c r="A188" s="49">
        <v>21</v>
      </c>
      <c r="B188" s="49" t="s">
        <v>404</v>
      </c>
      <c r="C188" s="49" t="s">
        <v>227</v>
      </c>
      <c r="D188" s="49" t="s">
        <v>405</v>
      </c>
      <c r="E188" s="49" t="s">
        <v>241</v>
      </c>
      <c r="F188" s="49"/>
      <c r="G188" s="49" t="s">
        <v>35</v>
      </c>
      <c r="H188" s="50">
        <v>3000</v>
      </c>
      <c r="I188" s="55">
        <v>600</v>
      </c>
      <c r="J188" s="49" t="s">
        <v>36</v>
      </c>
      <c r="K188" s="49" t="s">
        <v>37</v>
      </c>
      <c r="L188" s="146"/>
      <c r="M188" s="148">
        <v>600</v>
      </c>
      <c r="N188" s="148"/>
      <c r="O188" s="151"/>
      <c r="P188" s="142"/>
      <c r="Q188" s="142"/>
      <c r="R188" s="142"/>
    </row>
    <row r="189" spans="1:26" ht="15.75" customHeight="1">
      <c r="A189" s="49">
        <v>21</v>
      </c>
      <c r="B189" s="49" t="s">
        <v>404</v>
      </c>
      <c r="C189" s="49" t="s">
        <v>227</v>
      </c>
      <c r="D189" s="49" t="s">
        <v>405</v>
      </c>
      <c r="E189" s="49" t="s">
        <v>241</v>
      </c>
      <c r="F189" s="49"/>
      <c r="G189" s="49" t="s">
        <v>2589</v>
      </c>
      <c r="H189" s="49">
        <v>15</v>
      </c>
      <c r="I189" s="55">
        <v>150</v>
      </c>
      <c r="J189" s="49" t="s">
        <v>36</v>
      </c>
      <c r="K189" s="49" t="s">
        <v>37</v>
      </c>
      <c r="L189" s="146"/>
      <c r="M189" s="148"/>
      <c r="N189" s="148"/>
      <c r="O189" s="151"/>
      <c r="P189" s="142"/>
      <c r="Q189" s="142"/>
      <c r="R189" s="142"/>
    </row>
    <row r="190" spans="1:26" ht="15.75" customHeight="1">
      <c r="A190" s="49">
        <v>21</v>
      </c>
      <c r="B190" s="49" t="s">
        <v>2727</v>
      </c>
      <c r="C190" s="49" t="s">
        <v>227</v>
      </c>
      <c r="D190" s="49" t="s">
        <v>682</v>
      </c>
      <c r="E190" s="49" t="s">
        <v>386</v>
      </c>
      <c r="F190" s="49"/>
      <c r="G190" s="49" t="s">
        <v>35</v>
      </c>
      <c r="H190" s="50">
        <v>3000</v>
      </c>
      <c r="I190" s="55">
        <v>600</v>
      </c>
      <c r="J190" s="49" t="s">
        <v>36</v>
      </c>
      <c r="K190" s="49" t="s">
        <v>37</v>
      </c>
      <c r="L190" s="146"/>
      <c r="M190" s="148">
        <v>1200</v>
      </c>
      <c r="N190" s="148"/>
      <c r="O190" s="4"/>
    </row>
    <row r="191" spans="1:26" ht="15.75" customHeight="1">
      <c r="A191" s="101">
        <v>21</v>
      </c>
      <c r="B191" s="101" t="s">
        <v>2728</v>
      </c>
      <c r="C191" s="101" t="s">
        <v>246</v>
      </c>
      <c r="D191" s="101" t="s">
        <v>1190</v>
      </c>
      <c r="E191" s="101" t="s">
        <v>241</v>
      </c>
      <c r="F191" s="101"/>
      <c r="G191" s="101" t="s">
        <v>35</v>
      </c>
      <c r="H191" s="137">
        <v>2000</v>
      </c>
      <c r="I191" s="102">
        <v>400</v>
      </c>
      <c r="J191" s="49" t="s">
        <v>36</v>
      </c>
      <c r="K191" s="49" t="s">
        <v>37</v>
      </c>
      <c r="L191" s="146"/>
      <c r="M191" s="148">
        <v>400</v>
      </c>
      <c r="N191" s="148"/>
      <c r="O191" s="4"/>
    </row>
    <row r="192" spans="1:26" ht="15.75" customHeight="1">
      <c r="A192" s="17">
        <v>25</v>
      </c>
      <c r="B192" s="17" t="s">
        <v>2729</v>
      </c>
      <c r="C192" s="17" t="s">
        <v>227</v>
      </c>
      <c r="D192" s="17" t="s">
        <v>1237</v>
      </c>
      <c r="E192" s="17" t="s">
        <v>48</v>
      </c>
      <c r="F192" s="17"/>
      <c r="G192" s="17" t="s">
        <v>35</v>
      </c>
      <c r="H192" s="17">
        <v>100</v>
      </c>
      <c r="I192" s="105">
        <v>20</v>
      </c>
      <c r="J192" s="49" t="s">
        <v>36</v>
      </c>
      <c r="K192" s="49" t="s">
        <v>37</v>
      </c>
      <c r="L192" s="146"/>
      <c r="M192" s="148">
        <v>20</v>
      </c>
      <c r="N192" s="148"/>
    </row>
    <row r="193" spans="1:15" ht="15.75" customHeight="1">
      <c r="A193" s="17">
        <v>25</v>
      </c>
      <c r="B193" s="17" t="s">
        <v>2729</v>
      </c>
      <c r="C193" s="17" t="s">
        <v>227</v>
      </c>
      <c r="D193" s="17" t="s">
        <v>1237</v>
      </c>
      <c r="E193" s="17" t="s">
        <v>48</v>
      </c>
      <c r="F193" s="49"/>
      <c r="G193" s="49" t="s">
        <v>2721</v>
      </c>
      <c r="H193" s="50">
        <v>30</v>
      </c>
      <c r="I193" s="55">
        <v>90</v>
      </c>
      <c r="J193" s="49" t="s">
        <v>36</v>
      </c>
      <c r="K193" s="49" t="s">
        <v>37</v>
      </c>
      <c r="L193" s="146"/>
      <c r="M193" s="148"/>
      <c r="N193" s="148"/>
      <c r="O193" s="4"/>
    </row>
    <row r="194" spans="1:15" ht="15.75" customHeight="1">
      <c r="A194" s="49">
        <v>25</v>
      </c>
      <c r="B194" s="49" t="s">
        <v>2730</v>
      </c>
      <c r="C194" s="49" t="s">
        <v>227</v>
      </c>
      <c r="D194" s="49" t="s">
        <v>262</v>
      </c>
      <c r="E194" s="49" t="s">
        <v>232</v>
      </c>
      <c r="F194" s="49"/>
      <c r="G194" s="49" t="s">
        <v>35</v>
      </c>
      <c r="H194" s="49">
        <v>1500</v>
      </c>
      <c r="I194" s="55">
        <v>300</v>
      </c>
      <c r="J194" s="49" t="s">
        <v>36</v>
      </c>
      <c r="K194" s="49" t="s">
        <v>37</v>
      </c>
      <c r="L194" s="146"/>
      <c r="M194" s="148">
        <v>300</v>
      </c>
      <c r="N194" s="148"/>
      <c r="O194" s="4"/>
    </row>
    <row r="195" spans="1:15" ht="15.75" customHeight="1">
      <c r="A195" s="49">
        <v>25</v>
      </c>
      <c r="B195" s="49" t="s">
        <v>2731</v>
      </c>
      <c r="C195" s="49" t="s">
        <v>227</v>
      </c>
      <c r="D195" s="49" t="s">
        <v>244</v>
      </c>
      <c r="E195" s="49" t="s">
        <v>235</v>
      </c>
      <c r="F195" s="49"/>
      <c r="G195" s="49" t="s">
        <v>35</v>
      </c>
      <c r="H195" s="49">
        <v>300</v>
      </c>
      <c r="I195" s="55">
        <v>90</v>
      </c>
      <c r="J195" s="49" t="s">
        <v>36</v>
      </c>
      <c r="K195" s="49" t="s">
        <v>37</v>
      </c>
      <c r="L195" s="146"/>
      <c r="M195" s="148">
        <v>100</v>
      </c>
      <c r="N195" s="148"/>
      <c r="O195" s="4"/>
    </row>
    <row r="196" spans="1:15" ht="15.75" customHeight="1">
      <c r="A196" s="49">
        <v>25</v>
      </c>
      <c r="B196" s="49" t="s">
        <v>2732</v>
      </c>
      <c r="C196" s="49" t="s">
        <v>246</v>
      </c>
      <c r="D196" s="49" t="s">
        <v>32</v>
      </c>
      <c r="E196" s="49" t="s">
        <v>115</v>
      </c>
      <c r="F196" s="49"/>
      <c r="G196" s="49" t="s">
        <v>35</v>
      </c>
      <c r="H196" s="49">
        <v>4000</v>
      </c>
      <c r="I196" s="55">
        <v>800</v>
      </c>
      <c r="J196" s="49" t="s">
        <v>36</v>
      </c>
      <c r="K196" s="49" t="s">
        <v>37</v>
      </c>
      <c r="L196" s="146"/>
      <c r="M196" s="148">
        <v>8000</v>
      </c>
      <c r="N196" s="148"/>
      <c r="O196" s="4"/>
    </row>
    <row r="197" spans="1:15" ht="15.75" customHeight="1">
      <c r="A197" s="49">
        <v>25</v>
      </c>
      <c r="B197" s="49" t="s">
        <v>2733</v>
      </c>
      <c r="C197" s="49" t="s">
        <v>227</v>
      </c>
      <c r="D197" s="49" t="s">
        <v>2734</v>
      </c>
      <c r="E197" s="49" t="s">
        <v>248</v>
      </c>
      <c r="F197" s="49"/>
      <c r="G197" s="49" t="s">
        <v>35</v>
      </c>
      <c r="H197" s="49">
        <v>9500</v>
      </c>
      <c r="I197" s="55">
        <v>1900</v>
      </c>
      <c r="J197" s="49" t="s">
        <v>36</v>
      </c>
      <c r="K197" s="49" t="s">
        <v>37</v>
      </c>
      <c r="L197" s="146"/>
      <c r="M197" s="148">
        <v>2000</v>
      </c>
      <c r="N197" s="148"/>
    </row>
    <row r="198" spans="1:15" ht="15.75" customHeight="1">
      <c r="A198" s="49">
        <v>25</v>
      </c>
      <c r="B198" s="49" t="s">
        <v>2629</v>
      </c>
      <c r="C198" s="49" t="s">
        <v>227</v>
      </c>
      <c r="D198" s="49" t="s">
        <v>292</v>
      </c>
      <c r="E198" s="49" t="s">
        <v>235</v>
      </c>
      <c r="F198" s="49"/>
      <c r="G198" s="49" t="s">
        <v>35</v>
      </c>
      <c r="H198" s="49">
        <v>1500</v>
      </c>
      <c r="I198" s="55">
        <v>300</v>
      </c>
      <c r="J198" s="49" t="s">
        <v>36</v>
      </c>
      <c r="K198" s="49" t="s">
        <v>37</v>
      </c>
      <c r="L198" s="146"/>
      <c r="M198" s="148">
        <v>300</v>
      </c>
      <c r="N198" s="148"/>
      <c r="O198" s="4"/>
    </row>
    <row r="199" spans="1:15" ht="15.75" customHeight="1">
      <c r="A199" s="49">
        <v>25</v>
      </c>
      <c r="B199" s="49" t="s">
        <v>2735</v>
      </c>
      <c r="C199" s="49" t="s">
        <v>227</v>
      </c>
      <c r="D199" s="49" t="s">
        <v>40</v>
      </c>
      <c r="E199" s="49" t="s">
        <v>41</v>
      </c>
      <c r="F199" s="49"/>
      <c r="G199" s="49" t="s">
        <v>35</v>
      </c>
      <c r="H199" s="50">
        <v>1000</v>
      </c>
      <c r="I199" s="55">
        <v>200</v>
      </c>
      <c r="J199" s="49" t="s">
        <v>36</v>
      </c>
      <c r="K199" s="49" t="s">
        <v>37</v>
      </c>
      <c r="L199" s="146"/>
      <c r="M199" s="148">
        <v>200</v>
      </c>
      <c r="N199" s="148"/>
      <c r="O199" s="4"/>
    </row>
    <row r="200" spans="1:15" ht="15.75" customHeight="1">
      <c r="A200" s="49">
        <v>25</v>
      </c>
      <c r="B200" s="49" t="s">
        <v>2736</v>
      </c>
      <c r="C200" s="49" t="s">
        <v>227</v>
      </c>
      <c r="D200" s="49" t="s">
        <v>163</v>
      </c>
      <c r="E200" s="49" t="s">
        <v>184</v>
      </c>
      <c r="F200" s="49"/>
      <c r="G200" s="49" t="s">
        <v>35</v>
      </c>
      <c r="H200" s="50">
        <v>5000</v>
      </c>
      <c r="I200" s="55">
        <v>1000</v>
      </c>
      <c r="J200" s="49" t="s">
        <v>36</v>
      </c>
      <c r="K200" s="49" t="s">
        <v>37</v>
      </c>
      <c r="L200" s="146"/>
      <c r="M200" s="148">
        <v>1000</v>
      </c>
      <c r="N200" s="148"/>
      <c r="O200" s="4"/>
    </row>
    <row r="201" spans="1:15" ht="15.75" customHeight="1">
      <c r="A201" s="49">
        <v>25</v>
      </c>
      <c r="B201" s="49" t="s">
        <v>2737</v>
      </c>
      <c r="C201" s="49" t="s">
        <v>227</v>
      </c>
      <c r="D201" s="49" t="s">
        <v>234</v>
      </c>
      <c r="E201" s="49" t="s">
        <v>235</v>
      </c>
      <c r="F201" s="49"/>
      <c r="G201" s="49" t="s">
        <v>35</v>
      </c>
      <c r="H201" s="49">
        <v>500</v>
      </c>
      <c r="I201" s="55">
        <v>100</v>
      </c>
      <c r="J201" s="49" t="s">
        <v>36</v>
      </c>
      <c r="K201" s="49" t="s">
        <v>37</v>
      </c>
      <c r="L201" s="146"/>
      <c r="M201" s="148">
        <v>100</v>
      </c>
      <c r="N201" s="148"/>
    </row>
    <row r="202" spans="1:15" ht="15.75" customHeight="1">
      <c r="A202" s="49">
        <v>25</v>
      </c>
      <c r="B202" s="49" t="s">
        <v>1330</v>
      </c>
      <c r="C202" s="49" t="s">
        <v>227</v>
      </c>
      <c r="D202" s="49" t="s">
        <v>234</v>
      </c>
      <c r="E202" s="49" t="s">
        <v>235</v>
      </c>
      <c r="F202" s="49"/>
      <c r="G202" s="49" t="s">
        <v>35</v>
      </c>
      <c r="H202" s="50">
        <v>1200</v>
      </c>
      <c r="I202" s="55">
        <v>240</v>
      </c>
      <c r="J202" s="49" t="s">
        <v>36</v>
      </c>
      <c r="K202" s="49" t="s">
        <v>37</v>
      </c>
      <c r="L202" s="146"/>
      <c r="M202" s="148">
        <v>200</v>
      </c>
      <c r="N202" s="148"/>
      <c r="O202" s="4"/>
    </row>
    <row r="203" spans="1:15" ht="15.75" customHeight="1">
      <c r="A203" s="49">
        <v>25</v>
      </c>
      <c r="B203" s="49" t="s">
        <v>1384</v>
      </c>
      <c r="C203" s="49" t="s">
        <v>227</v>
      </c>
      <c r="D203" s="49" t="s">
        <v>1190</v>
      </c>
      <c r="E203" s="49" t="s">
        <v>241</v>
      </c>
      <c r="F203" s="49"/>
      <c r="G203" s="49" t="s">
        <v>35</v>
      </c>
      <c r="H203" s="49">
        <v>1500</v>
      </c>
      <c r="I203" s="55">
        <v>300</v>
      </c>
      <c r="J203" s="49" t="s">
        <v>36</v>
      </c>
      <c r="K203" s="49" t="s">
        <v>37</v>
      </c>
      <c r="L203" s="146"/>
      <c r="M203" s="148">
        <v>300</v>
      </c>
      <c r="N203" s="148"/>
      <c r="O203" s="4"/>
    </row>
    <row r="204" spans="1:15" ht="15.75" customHeight="1">
      <c r="A204" s="49">
        <v>25</v>
      </c>
      <c r="B204" s="49" t="s">
        <v>1384</v>
      </c>
      <c r="C204" s="49" t="s">
        <v>227</v>
      </c>
      <c r="D204" s="49" t="s">
        <v>1190</v>
      </c>
      <c r="E204" s="49" t="s">
        <v>241</v>
      </c>
      <c r="F204" s="49"/>
      <c r="G204" s="49" t="s">
        <v>2589</v>
      </c>
      <c r="H204" s="50">
        <v>10</v>
      </c>
      <c r="I204" s="55">
        <v>100</v>
      </c>
      <c r="J204" s="49" t="s">
        <v>36</v>
      </c>
      <c r="K204" s="49" t="s">
        <v>37</v>
      </c>
      <c r="L204" s="146"/>
      <c r="M204" s="148"/>
      <c r="N204" s="148"/>
      <c r="O204" s="4"/>
    </row>
    <row r="205" spans="1:15" ht="15.75" customHeight="1">
      <c r="A205" s="49">
        <v>25</v>
      </c>
      <c r="B205" s="49" t="s">
        <v>2738</v>
      </c>
      <c r="C205" s="49" t="s">
        <v>227</v>
      </c>
      <c r="D205" s="49" t="s">
        <v>2739</v>
      </c>
      <c r="E205" s="49" t="s">
        <v>307</v>
      </c>
      <c r="F205" s="49"/>
      <c r="G205" s="49" t="s">
        <v>35</v>
      </c>
      <c r="H205" s="50">
        <v>300</v>
      </c>
      <c r="I205" s="55">
        <v>60</v>
      </c>
      <c r="J205" s="49" t="s">
        <v>36</v>
      </c>
      <c r="K205" s="49" t="s">
        <v>37</v>
      </c>
      <c r="L205" s="146"/>
      <c r="M205" s="148">
        <v>100</v>
      </c>
      <c r="N205" s="148"/>
      <c r="O205" s="4"/>
    </row>
    <row r="206" spans="1:15" ht="15.75" customHeight="1">
      <c r="A206" s="49">
        <v>26</v>
      </c>
      <c r="B206" s="49" t="s">
        <v>726</v>
      </c>
      <c r="C206" s="49" t="s">
        <v>227</v>
      </c>
      <c r="D206" s="49" t="s">
        <v>295</v>
      </c>
      <c r="E206" s="49" t="s">
        <v>248</v>
      </c>
      <c r="F206" s="49"/>
      <c r="G206" s="49" t="s">
        <v>35</v>
      </c>
      <c r="H206" s="50">
        <v>700</v>
      </c>
      <c r="I206" s="55">
        <v>140</v>
      </c>
      <c r="J206" s="49" t="s">
        <v>36</v>
      </c>
      <c r="K206" s="49" t="s">
        <v>37</v>
      </c>
      <c r="L206" s="146"/>
      <c r="M206" s="148">
        <v>200</v>
      </c>
      <c r="N206" s="148"/>
      <c r="O206" s="4"/>
    </row>
    <row r="207" spans="1:15" ht="15.75" customHeight="1">
      <c r="A207" s="49">
        <v>26</v>
      </c>
      <c r="B207" s="49" t="s">
        <v>2740</v>
      </c>
      <c r="C207" s="49" t="s">
        <v>227</v>
      </c>
      <c r="D207" s="49" t="s">
        <v>770</v>
      </c>
      <c r="E207" s="49" t="s">
        <v>235</v>
      </c>
      <c r="F207" s="49"/>
      <c r="G207" s="49" t="s">
        <v>35</v>
      </c>
      <c r="H207" s="49">
        <v>500</v>
      </c>
      <c r="I207" s="55">
        <v>100</v>
      </c>
      <c r="J207" s="49" t="s">
        <v>36</v>
      </c>
      <c r="K207" s="49" t="s">
        <v>37</v>
      </c>
      <c r="L207" s="146"/>
      <c r="M207" s="148">
        <v>100</v>
      </c>
      <c r="N207" s="148"/>
    </row>
    <row r="208" spans="1:15" ht="15.75" customHeight="1">
      <c r="A208" s="49">
        <v>26</v>
      </c>
      <c r="B208" s="49" t="s">
        <v>1383</v>
      </c>
      <c r="C208" s="49" t="s">
        <v>227</v>
      </c>
      <c r="D208" s="49" t="s">
        <v>277</v>
      </c>
      <c r="E208" s="49" t="s">
        <v>232</v>
      </c>
      <c r="F208" s="49"/>
      <c r="G208" s="49" t="s">
        <v>35</v>
      </c>
      <c r="H208" s="50">
        <v>6000</v>
      </c>
      <c r="I208" s="55">
        <v>1200</v>
      </c>
      <c r="J208" s="49" t="s">
        <v>36</v>
      </c>
      <c r="K208" s="49" t="s">
        <v>37</v>
      </c>
      <c r="L208" s="146"/>
      <c r="M208" s="148">
        <v>1000</v>
      </c>
      <c r="N208" s="148"/>
      <c r="O208" s="4"/>
    </row>
    <row r="209" spans="1:15" ht="15.75" customHeight="1">
      <c r="A209" s="49">
        <v>26</v>
      </c>
      <c r="B209" s="49" t="s">
        <v>2741</v>
      </c>
      <c r="C209" s="49" t="s">
        <v>227</v>
      </c>
      <c r="D209" s="49" t="s">
        <v>405</v>
      </c>
      <c r="E209" s="49" t="s">
        <v>241</v>
      </c>
      <c r="F209" s="49"/>
      <c r="G209" s="49" t="s">
        <v>35</v>
      </c>
      <c r="H209" s="50">
        <v>2000</v>
      </c>
      <c r="I209" s="55">
        <v>400</v>
      </c>
      <c r="J209" s="49" t="s">
        <v>36</v>
      </c>
      <c r="K209" s="49" t="s">
        <v>37</v>
      </c>
      <c r="L209" s="146"/>
      <c r="M209" s="148">
        <v>300</v>
      </c>
      <c r="N209" s="148"/>
      <c r="O209" s="4"/>
    </row>
    <row r="210" spans="1:15" ht="15.75" customHeight="1">
      <c r="A210" s="49">
        <v>26</v>
      </c>
      <c r="B210" s="49" t="s">
        <v>2742</v>
      </c>
      <c r="C210" s="49" t="s">
        <v>227</v>
      </c>
      <c r="D210" s="49" t="s">
        <v>295</v>
      </c>
      <c r="E210" s="49" t="s">
        <v>248</v>
      </c>
      <c r="F210" s="49"/>
      <c r="G210" s="49" t="s">
        <v>35</v>
      </c>
      <c r="H210" s="50">
        <v>2000</v>
      </c>
      <c r="I210" s="55">
        <v>400</v>
      </c>
      <c r="J210" s="49" t="s">
        <v>36</v>
      </c>
      <c r="K210" s="49" t="s">
        <v>37</v>
      </c>
      <c r="L210" s="146"/>
      <c r="M210" s="148">
        <v>400</v>
      </c>
      <c r="N210" s="148"/>
      <c r="O210" s="4"/>
    </row>
    <row r="211" spans="1:15" ht="15.75" customHeight="1">
      <c r="A211" s="101">
        <v>27</v>
      </c>
      <c r="B211" s="101" t="s">
        <v>2743</v>
      </c>
      <c r="C211" s="101" t="s">
        <v>227</v>
      </c>
      <c r="D211" s="101" t="s">
        <v>2739</v>
      </c>
      <c r="E211" s="101" t="s">
        <v>307</v>
      </c>
      <c r="F211" s="101"/>
      <c r="G211" s="101" t="s">
        <v>35</v>
      </c>
      <c r="H211" s="114">
        <v>200</v>
      </c>
      <c r="I211" s="102">
        <v>40</v>
      </c>
      <c r="J211" s="49" t="s">
        <v>36</v>
      </c>
      <c r="K211" s="49" t="s">
        <v>37</v>
      </c>
      <c r="L211" s="146"/>
      <c r="M211" s="148">
        <v>200</v>
      </c>
      <c r="N211" s="148"/>
      <c r="O211" s="4"/>
    </row>
    <row r="212" spans="1:15" ht="15.75" customHeight="1">
      <c r="A212" s="17">
        <v>28</v>
      </c>
      <c r="B212" s="17" t="s">
        <v>2744</v>
      </c>
      <c r="C212" s="17" t="s">
        <v>227</v>
      </c>
      <c r="D212" s="17" t="s">
        <v>1215</v>
      </c>
      <c r="E212" s="17" t="s">
        <v>232</v>
      </c>
      <c r="F212" s="17"/>
      <c r="G212" s="17" t="s">
        <v>35</v>
      </c>
      <c r="H212" s="116">
        <v>3000</v>
      </c>
      <c r="I212" s="105">
        <v>600</v>
      </c>
      <c r="J212" s="49" t="s">
        <v>36</v>
      </c>
      <c r="K212" s="49" t="s">
        <v>37</v>
      </c>
      <c r="L212" s="146"/>
      <c r="M212" s="148">
        <v>1000</v>
      </c>
      <c r="N212" s="148"/>
      <c r="O212" s="4"/>
    </row>
    <row r="213" spans="1:15" ht="15.75" customHeight="1">
      <c r="A213" s="49">
        <v>28</v>
      </c>
      <c r="B213" s="49" t="s">
        <v>1362</v>
      </c>
      <c r="C213" s="49" t="s">
        <v>227</v>
      </c>
      <c r="D213" s="49"/>
      <c r="E213" s="49" t="s">
        <v>248</v>
      </c>
      <c r="F213" s="49"/>
      <c r="G213" s="49" t="s">
        <v>35</v>
      </c>
      <c r="H213" s="50">
        <v>700</v>
      </c>
      <c r="I213" s="55">
        <v>140</v>
      </c>
      <c r="J213" s="49" t="s">
        <v>36</v>
      </c>
      <c r="K213" s="49" t="s">
        <v>37</v>
      </c>
      <c r="L213" s="146"/>
      <c r="M213" s="148">
        <v>100</v>
      </c>
      <c r="N213" s="148"/>
      <c r="O213" s="4"/>
    </row>
    <row r="214" spans="1:15" ht="15.75" customHeight="1">
      <c r="M214" s="148"/>
      <c r="N214" s="148"/>
    </row>
    <row r="215" spans="1:15" ht="15.75" customHeight="1">
      <c r="A215" s="2"/>
      <c r="B215" s="3"/>
      <c r="C215" s="3"/>
      <c r="D215" s="3"/>
      <c r="E215" s="3"/>
      <c r="F215" s="1"/>
      <c r="G215" s="3"/>
      <c r="H215" s="99"/>
      <c r="I215" s="5"/>
      <c r="J215" s="1"/>
      <c r="K215" s="3"/>
      <c r="M215" s="147">
        <f>SUM(M12:M214)</f>
        <v>130148</v>
      </c>
      <c r="N215" s="147">
        <f>M151+M149+M140+M112+M101+M47+M23+M14</f>
        <v>41500</v>
      </c>
    </row>
    <row r="216" spans="1:15" ht="15.75" customHeight="1">
      <c r="A216" s="1"/>
      <c r="B216" s="1"/>
      <c r="D216" s="1"/>
      <c r="E216" s="1"/>
      <c r="G216" s="1"/>
      <c r="H216" s="4"/>
      <c r="J216" s="1"/>
    </row>
    <row r="217" spans="1:15" ht="15.75" customHeight="1">
      <c r="I217" s="60" t="s">
        <v>53</v>
      </c>
      <c r="J217" s="60"/>
      <c r="K217" s="1"/>
    </row>
    <row r="218" spans="1:15" ht="15.75" customHeight="1">
      <c r="B218" s="61" t="s">
        <v>55</v>
      </c>
      <c r="E218" s="61" t="s">
        <v>56</v>
      </c>
      <c r="I218" s="260" t="s">
        <v>2745</v>
      </c>
      <c r="J218" s="241"/>
      <c r="K218" s="154">
        <f>H12+H13+H14+H15+H16+H19+H21+H22+H23+H24+H25+H26+H28+H32+H33+H34+H35+H37+H38+H39+H40+H41+H42+H43+H44+H45+H46+H47+H48+H49+H50+H52+H53+H54+H55+H58+H59+H60+H61+H63+H65+H67+H72+H74+H79+H80+H81+H82+H83+H85+H86+H88+H89+H90+H91+H92+H93+H94+H95+H96+H97+H99+H100+H101+H102+H104+H105+H106+H107+H108+H110+H111+H112+H113+H114+H115+H117+H119+H121+H123+H124+H128+H129+H130+H133+H134+H135+H136+H138+H140+H142+H144+H148+H149+H151+H153+H154++H156+H158+H160+H162+H164+H165+H168+H176+H178+H181+H182+H184+H185+H186+H187+H188+H190+H191+H192+H194+H195+H196+H197+H198+H199+H200+H201+H202+H203+H205+H206+H207+H208+H209+H210+H211+H212+H213</f>
        <v>405400</v>
      </c>
    </row>
    <row r="219" spans="1:15" ht="15.75" customHeight="1">
      <c r="I219" s="260" t="s">
        <v>2746</v>
      </c>
      <c r="J219" s="241"/>
      <c r="K219" s="155">
        <f>H29+H30+H57+H62+H73+H76+H77+H78+H103+H120+H147+H166+H170+H171+H172+H173+H174+H175</f>
        <v>9300</v>
      </c>
    </row>
    <row r="220" spans="1:15" ht="15.75" customHeight="1">
      <c r="I220" s="260" t="s">
        <v>2747</v>
      </c>
      <c r="J220" s="241"/>
      <c r="K220" s="156">
        <f>H68+H84+H87+H98+H116+H118+H122+H126+H131+H139+H141+H145+H150+H161+H167+H169</f>
        <v>5200</v>
      </c>
    </row>
    <row r="221" spans="1:15" ht="15.75" customHeight="1">
      <c r="B221" s="65" t="s">
        <v>109</v>
      </c>
      <c r="E221" s="65" t="s">
        <v>61</v>
      </c>
      <c r="F221" s="65"/>
      <c r="G221" s="62"/>
      <c r="I221" s="260" t="s">
        <v>2748</v>
      </c>
      <c r="J221" s="241"/>
      <c r="K221" s="157">
        <f>H17+H18+H20+H27+H31+H36+H51+H56+H64+H66+H69+H70+H71+H75+H109+H125+H127+H132+H137+H143+H146+H155+H157+H163+H177+H179+H181+H183+H189+H193+H204</f>
        <v>1598</v>
      </c>
    </row>
    <row r="222" spans="1:15" ht="15.75" customHeight="1">
      <c r="B222" s="61" t="s">
        <v>110</v>
      </c>
      <c r="E222" s="61" t="s">
        <v>124</v>
      </c>
      <c r="I222" s="260" t="s">
        <v>2749</v>
      </c>
      <c r="J222" s="241"/>
      <c r="K222" s="1"/>
    </row>
    <row r="223" spans="1:15" ht="15.75" customHeight="1">
      <c r="I223" s="260" t="s">
        <v>2750</v>
      </c>
      <c r="J223" s="241"/>
      <c r="K223" s="1"/>
    </row>
    <row r="224" spans="1:15" ht="15.75" customHeight="1">
      <c r="I224" s="260" t="s">
        <v>66</v>
      </c>
      <c r="J224" s="241"/>
      <c r="K224" s="1"/>
    </row>
    <row r="225" spans="9:11" ht="15.75" customHeight="1">
      <c r="I225" s="259" t="s">
        <v>2751</v>
      </c>
      <c r="J225" s="241"/>
      <c r="K225" s="157">
        <f>M215-N215</f>
        <v>88648</v>
      </c>
    </row>
    <row r="226" spans="9:11" ht="15.75" customHeight="1">
      <c r="I226" s="259" t="s">
        <v>2752</v>
      </c>
      <c r="J226" s="241"/>
      <c r="K226" s="157">
        <v>41500</v>
      </c>
    </row>
    <row r="227" spans="9:11" ht="15.75" customHeight="1">
      <c r="K227" s="1"/>
    </row>
    <row r="228" spans="9:11" ht="15.75" customHeight="1"/>
    <row r="229" spans="9:11" ht="15.75" customHeight="1"/>
    <row r="230" spans="9:11" ht="15.75" customHeight="1"/>
    <row r="231" spans="9:11" ht="15.75" customHeight="1"/>
    <row r="232" spans="9:11" ht="15.75" customHeight="1"/>
    <row r="233" spans="9:11" ht="15.75" customHeight="1"/>
    <row r="234" spans="9:11" ht="15.75" customHeight="1"/>
    <row r="235" spans="9:11" ht="15.75" customHeight="1"/>
    <row r="236" spans="9:11" ht="15.75" customHeight="1"/>
    <row r="237" spans="9:11" ht="15.75" customHeight="1"/>
    <row r="238" spans="9:11" ht="15.75" customHeight="1"/>
    <row r="239" spans="9:11" ht="15.75" customHeight="1"/>
    <row r="240" spans="9:1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I225:J225"/>
    <mergeCell ref="I226:J226"/>
    <mergeCell ref="A1:I1"/>
    <mergeCell ref="C2:G2"/>
    <mergeCell ref="F7:H7"/>
    <mergeCell ref="J7:K7"/>
    <mergeCell ref="A8:B8"/>
    <mergeCell ref="I218:J218"/>
    <mergeCell ref="I219:J219"/>
    <mergeCell ref="I220:J220"/>
    <mergeCell ref="I221:J221"/>
    <mergeCell ref="I222:J222"/>
    <mergeCell ref="I223:J223"/>
    <mergeCell ref="I224:J224"/>
  </mergeCells>
  <printOptions horizontalCentered="1"/>
  <pageMargins left="0.75" right="0.75" top="0.75" bottom="0.75" header="0" footer="0"/>
  <pageSetup paperSize="5" scale="9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Q1000"/>
  <sheetViews>
    <sheetView topLeftCell="A51" workbookViewId="0">
      <selection sqref="A1:I1"/>
    </sheetView>
  </sheetViews>
  <sheetFormatPr defaultColWidth="14.42578125" defaultRowHeight="15" customHeight="1"/>
  <cols>
    <col min="1" max="1" width="4.7109375" customWidth="1"/>
    <col min="2" max="2" width="26.5703125" customWidth="1"/>
    <col min="3" max="3" width="7.28515625" customWidth="1"/>
    <col min="4" max="4" width="16.140625" customWidth="1"/>
    <col min="5" max="5" width="14.5703125" customWidth="1"/>
    <col min="6" max="6" width="14.28515625" customWidth="1"/>
    <col min="7" max="7" width="12.7109375" customWidth="1"/>
    <col min="8" max="8" width="16.42578125" customWidth="1"/>
    <col min="9" max="9" width="13.42578125" customWidth="1"/>
    <col min="10" max="10" width="12" customWidth="1"/>
    <col min="11" max="11" width="18.5703125" customWidth="1"/>
    <col min="12" max="12" width="13" customWidth="1"/>
    <col min="13" max="13" width="10.42578125" customWidth="1"/>
    <col min="14" max="14" width="8.7109375" customWidth="1"/>
    <col min="15" max="15" width="10.5703125" customWidth="1"/>
    <col min="16" max="16" width="11.85546875" customWidth="1"/>
    <col min="17" max="17" width="10.85546875" customWidth="1"/>
    <col min="18" max="26" width="8.7109375" customWidth="1"/>
  </cols>
  <sheetData>
    <row r="1" spans="1:17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69"/>
    </row>
    <row r="2" spans="1:17" ht="18">
      <c r="A2" s="2"/>
      <c r="B2" s="3"/>
      <c r="C2" s="242" t="s">
        <v>2753</v>
      </c>
      <c r="D2" s="241"/>
      <c r="E2" s="241"/>
      <c r="F2" s="241"/>
      <c r="G2" s="241"/>
      <c r="H2" s="70"/>
      <c r="I2" s="71"/>
      <c r="J2" s="72"/>
      <c r="K2" s="6"/>
    </row>
    <row r="3" spans="1:17">
      <c r="A3" s="2"/>
      <c r="B3" s="3"/>
      <c r="C3" s="73"/>
      <c r="D3" s="3"/>
      <c r="E3" s="3"/>
      <c r="G3" s="73"/>
      <c r="H3" s="70"/>
      <c r="I3" s="71"/>
      <c r="J3" s="263" t="s">
        <v>2754</v>
      </c>
      <c r="K3" s="244"/>
    </row>
    <row r="4" spans="1:17">
      <c r="A4" s="2"/>
      <c r="B4" s="3"/>
      <c r="C4" s="73"/>
      <c r="D4" s="3"/>
      <c r="E4" s="3"/>
      <c r="G4" s="73"/>
      <c r="H4" s="70"/>
      <c r="I4" s="75"/>
      <c r="J4" s="264" t="s">
        <v>2755</v>
      </c>
      <c r="K4" s="248"/>
    </row>
    <row r="5" spans="1:17">
      <c r="A5" s="2"/>
      <c r="B5" s="3"/>
      <c r="C5" s="73"/>
      <c r="D5" s="3"/>
      <c r="E5" s="3"/>
      <c r="G5" s="73"/>
      <c r="H5" s="70"/>
      <c r="I5" s="75"/>
      <c r="J5" s="264" t="s">
        <v>2756</v>
      </c>
      <c r="K5" s="248"/>
    </row>
    <row r="6" spans="1:17">
      <c r="A6" s="77" t="s">
        <v>218</v>
      </c>
      <c r="B6" s="13"/>
      <c r="C6" s="73"/>
      <c r="D6" s="3"/>
      <c r="E6" s="15"/>
      <c r="F6" s="1"/>
      <c r="G6" s="73"/>
      <c r="H6" s="70"/>
      <c r="I6" s="71"/>
      <c r="J6" s="261" t="s">
        <v>2757</v>
      </c>
      <c r="K6" s="262"/>
    </row>
    <row r="7" spans="1:17">
      <c r="A7" s="18"/>
      <c r="B7" s="19"/>
      <c r="C7" s="79"/>
      <c r="D7" s="21"/>
      <c r="E7" s="21"/>
      <c r="F7" s="243" t="s">
        <v>220</v>
      </c>
      <c r="G7" s="257"/>
      <c r="H7" s="244"/>
      <c r="I7" s="80"/>
      <c r="J7" s="245" t="s">
        <v>11</v>
      </c>
      <c r="K7" s="246"/>
    </row>
    <row r="8" spans="1:17">
      <c r="A8" s="247" t="s">
        <v>221</v>
      </c>
      <c r="B8" s="248"/>
      <c r="C8" s="81" t="s">
        <v>222</v>
      </c>
      <c r="D8" s="24" t="s">
        <v>14</v>
      </c>
      <c r="E8" s="25" t="s">
        <v>15</v>
      </c>
      <c r="F8" s="82" t="s">
        <v>223</v>
      </c>
      <c r="G8" s="83"/>
      <c r="H8" s="84" t="s">
        <v>18</v>
      </c>
      <c r="I8" s="29" t="s">
        <v>19</v>
      </c>
      <c r="J8" s="85"/>
      <c r="K8" s="30"/>
    </row>
    <row r="9" spans="1:17">
      <c r="A9" s="31"/>
      <c r="B9" s="32"/>
      <c r="C9" s="83"/>
      <c r="D9" s="33"/>
      <c r="E9" s="32"/>
      <c r="F9" s="86" t="s">
        <v>224</v>
      </c>
      <c r="G9" s="81" t="s">
        <v>23</v>
      </c>
      <c r="H9" s="84" t="s">
        <v>24</v>
      </c>
      <c r="I9" s="87"/>
      <c r="J9" s="24" t="s">
        <v>25</v>
      </c>
      <c r="K9" s="24" t="s">
        <v>26</v>
      </c>
    </row>
    <row r="10" spans="1:17">
      <c r="A10" s="36"/>
      <c r="B10" s="37"/>
      <c r="C10" s="88"/>
      <c r="D10" s="39"/>
      <c r="E10" s="39"/>
      <c r="F10" s="45"/>
      <c r="G10" s="89"/>
      <c r="H10" s="90" t="s">
        <v>225</v>
      </c>
      <c r="I10" s="91"/>
      <c r="J10" s="45"/>
      <c r="K10" s="41" t="s">
        <v>29</v>
      </c>
    </row>
    <row r="11" spans="1:17">
      <c r="A11" s="92" t="s">
        <v>30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</row>
    <row r="12" spans="1:17">
      <c r="A12" s="158">
        <v>2</v>
      </c>
      <c r="B12" s="158" t="s">
        <v>2758</v>
      </c>
      <c r="C12" s="158" t="s">
        <v>227</v>
      </c>
      <c r="D12" s="49" t="s">
        <v>495</v>
      </c>
      <c r="E12" s="49" t="s">
        <v>199</v>
      </c>
      <c r="F12" s="49"/>
      <c r="G12" s="49" t="s">
        <v>35</v>
      </c>
      <c r="H12" s="54">
        <v>500</v>
      </c>
      <c r="I12" s="55">
        <v>100</v>
      </c>
      <c r="J12" s="49" t="s">
        <v>36</v>
      </c>
      <c r="K12" s="49" t="s">
        <v>37</v>
      </c>
      <c r="L12" s="1"/>
      <c r="M12" s="147">
        <v>300</v>
      </c>
      <c r="N12" s="159"/>
      <c r="O12" s="128"/>
      <c r="P12" s="1"/>
      <c r="Q12" s="1"/>
    </row>
    <row r="13" spans="1:17">
      <c r="A13" s="158">
        <v>2</v>
      </c>
      <c r="B13" s="158" t="s">
        <v>1896</v>
      </c>
      <c r="C13" s="158" t="s">
        <v>227</v>
      </c>
      <c r="D13" s="49" t="s">
        <v>2759</v>
      </c>
      <c r="E13" s="49" t="s">
        <v>193</v>
      </c>
      <c r="F13" s="49"/>
      <c r="G13" s="49" t="s">
        <v>35</v>
      </c>
      <c r="H13" s="54">
        <v>3500</v>
      </c>
      <c r="I13" s="55">
        <v>700</v>
      </c>
      <c r="J13" s="49" t="s">
        <v>36</v>
      </c>
      <c r="K13" s="49" t="s">
        <v>37</v>
      </c>
      <c r="L13" s="1"/>
      <c r="M13" s="147">
        <v>900</v>
      </c>
      <c r="N13" s="148"/>
      <c r="O13" s="128"/>
      <c r="P13" s="128"/>
      <c r="Q13" s="1"/>
    </row>
    <row r="14" spans="1:17">
      <c r="A14" s="158">
        <v>2</v>
      </c>
      <c r="B14" s="158" t="s">
        <v>1896</v>
      </c>
      <c r="C14" s="158" t="s">
        <v>227</v>
      </c>
      <c r="D14" s="49" t="s">
        <v>2759</v>
      </c>
      <c r="E14" s="49" t="s">
        <v>193</v>
      </c>
      <c r="F14" s="49"/>
      <c r="G14" s="49" t="s">
        <v>2708</v>
      </c>
      <c r="H14" s="54">
        <v>200</v>
      </c>
      <c r="I14" s="55">
        <v>200</v>
      </c>
      <c r="J14" s="49" t="s">
        <v>36</v>
      </c>
      <c r="K14" s="49" t="s">
        <v>37</v>
      </c>
      <c r="L14" s="1"/>
      <c r="M14" s="147"/>
      <c r="N14" s="148"/>
      <c r="O14" s="160"/>
      <c r="P14" s="1"/>
      <c r="Q14" s="1"/>
    </row>
    <row r="15" spans="1:17">
      <c r="A15" s="158">
        <v>2</v>
      </c>
      <c r="B15" s="158" t="s">
        <v>2760</v>
      </c>
      <c r="C15" s="158" t="s">
        <v>227</v>
      </c>
      <c r="D15" s="49" t="s">
        <v>40</v>
      </c>
      <c r="E15" s="49" t="s">
        <v>232</v>
      </c>
      <c r="F15" s="49"/>
      <c r="G15" s="49" t="s">
        <v>35</v>
      </c>
      <c r="H15" s="54">
        <v>1000</v>
      </c>
      <c r="I15" s="55">
        <v>200</v>
      </c>
      <c r="J15" s="49" t="s">
        <v>36</v>
      </c>
      <c r="K15" s="49" t="s">
        <v>37</v>
      </c>
      <c r="L15" s="1"/>
      <c r="M15" s="147">
        <v>300</v>
      </c>
      <c r="N15" s="159"/>
      <c r="O15" s="160"/>
      <c r="P15" s="150"/>
      <c r="Q15" s="1"/>
    </row>
    <row r="16" spans="1:17">
      <c r="A16" s="158">
        <v>2</v>
      </c>
      <c r="B16" s="158" t="s">
        <v>2692</v>
      </c>
      <c r="C16" s="158" t="s">
        <v>246</v>
      </c>
      <c r="D16" s="49" t="s">
        <v>812</v>
      </c>
      <c r="E16" s="49" t="s">
        <v>158</v>
      </c>
      <c r="F16" s="49"/>
      <c r="G16" s="49" t="s">
        <v>35</v>
      </c>
      <c r="H16" s="54">
        <v>1000</v>
      </c>
      <c r="I16" s="55">
        <v>200</v>
      </c>
      <c r="J16" s="49" t="s">
        <v>36</v>
      </c>
      <c r="K16" s="49" t="s">
        <v>37</v>
      </c>
      <c r="L16" s="1"/>
      <c r="M16" s="147">
        <v>300</v>
      </c>
      <c r="N16" s="159"/>
      <c r="O16" s="160"/>
      <c r="P16" s="1"/>
      <c r="Q16" s="1"/>
    </row>
    <row r="17" spans="1:15">
      <c r="A17" s="158">
        <v>2</v>
      </c>
      <c r="B17" s="158" t="s">
        <v>2761</v>
      </c>
      <c r="C17" s="158" t="s">
        <v>227</v>
      </c>
      <c r="D17" s="49" t="s">
        <v>604</v>
      </c>
      <c r="E17" s="49" t="s">
        <v>321</v>
      </c>
      <c r="F17" s="49"/>
      <c r="G17" s="49" t="s">
        <v>35</v>
      </c>
      <c r="H17" s="54">
        <v>300</v>
      </c>
      <c r="I17" s="55">
        <v>60</v>
      </c>
      <c r="J17" s="49" t="s">
        <v>36</v>
      </c>
      <c r="K17" s="49" t="s">
        <v>37</v>
      </c>
      <c r="L17" s="1"/>
      <c r="M17" s="147">
        <v>30</v>
      </c>
      <c r="N17" s="148"/>
      <c r="O17" s="1"/>
    </row>
    <row r="18" spans="1:15">
      <c r="A18" s="158">
        <v>2</v>
      </c>
      <c r="B18" s="158" t="s">
        <v>2762</v>
      </c>
      <c r="C18" s="158" t="s">
        <v>227</v>
      </c>
      <c r="D18" s="49" t="s">
        <v>51</v>
      </c>
      <c r="E18" s="49" t="s">
        <v>323</v>
      </c>
      <c r="F18" s="49"/>
      <c r="G18" s="49" t="s">
        <v>35</v>
      </c>
      <c r="H18" s="54">
        <v>6000</v>
      </c>
      <c r="I18" s="55">
        <v>1200</v>
      </c>
      <c r="J18" s="49" t="s">
        <v>36</v>
      </c>
      <c r="K18" s="49" t="s">
        <v>37</v>
      </c>
      <c r="L18" s="1"/>
      <c r="M18" s="147">
        <v>5600</v>
      </c>
      <c r="N18" s="148"/>
    </row>
    <row r="19" spans="1:15">
      <c r="A19" s="158">
        <v>2</v>
      </c>
      <c r="B19" s="158" t="s">
        <v>2763</v>
      </c>
      <c r="C19" s="158" t="s">
        <v>227</v>
      </c>
      <c r="D19" s="49" t="s">
        <v>315</v>
      </c>
      <c r="E19" s="49" t="s">
        <v>48</v>
      </c>
      <c r="F19" s="49"/>
      <c r="G19" s="49" t="s">
        <v>35</v>
      </c>
      <c r="H19" s="54">
        <v>1000</v>
      </c>
      <c r="I19" s="55">
        <v>200</v>
      </c>
      <c r="J19" s="49" t="s">
        <v>36</v>
      </c>
      <c r="K19" s="49" t="s">
        <v>37</v>
      </c>
      <c r="L19" s="1"/>
      <c r="M19" s="147">
        <v>200</v>
      </c>
      <c r="N19" s="148"/>
    </row>
    <row r="20" spans="1:15">
      <c r="A20" s="158">
        <v>2</v>
      </c>
      <c r="B20" s="158" t="s">
        <v>2763</v>
      </c>
      <c r="C20" s="158" t="s">
        <v>227</v>
      </c>
      <c r="D20" s="49" t="s">
        <v>315</v>
      </c>
      <c r="E20" s="49" t="s">
        <v>48</v>
      </c>
      <c r="F20" s="49"/>
      <c r="G20" s="49" t="s">
        <v>2589</v>
      </c>
      <c r="H20" s="54">
        <v>20</v>
      </c>
      <c r="I20" s="55">
        <v>200</v>
      </c>
      <c r="J20" s="49" t="s">
        <v>36</v>
      </c>
      <c r="K20" s="49" t="s">
        <v>37</v>
      </c>
      <c r="L20" s="1"/>
      <c r="M20" s="147"/>
      <c r="N20" s="148"/>
    </row>
    <row r="21" spans="1:15" ht="15.75" customHeight="1">
      <c r="A21" s="158">
        <v>2</v>
      </c>
      <c r="B21" s="158" t="s">
        <v>1704</v>
      </c>
      <c r="C21" s="158" t="s">
        <v>227</v>
      </c>
      <c r="D21" s="49" t="s">
        <v>527</v>
      </c>
      <c r="E21" s="49" t="s">
        <v>199</v>
      </c>
      <c r="F21" s="49"/>
      <c r="G21" s="49" t="s">
        <v>35</v>
      </c>
      <c r="H21" s="54">
        <v>10000</v>
      </c>
      <c r="I21" s="55">
        <v>3000</v>
      </c>
      <c r="J21" s="49" t="s">
        <v>36</v>
      </c>
      <c r="K21" s="49" t="s">
        <v>37</v>
      </c>
      <c r="L21" s="1"/>
      <c r="M21" s="147">
        <v>300</v>
      </c>
      <c r="N21" s="148"/>
    </row>
    <row r="22" spans="1:15" ht="15.75" customHeight="1">
      <c r="A22" s="158">
        <v>2</v>
      </c>
      <c r="B22" s="158" t="s">
        <v>1704</v>
      </c>
      <c r="C22" s="158" t="s">
        <v>227</v>
      </c>
      <c r="D22" s="49" t="s">
        <v>527</v>
      </c>
      <c r="E22" s="49" t="s">
        <v>199</v>
      </c>
      <c r="F22" s="49"/>
      <c r="G22" s="49" t="s">
        <v>2589</v>
      </c>
      <c r="H22" s="54">
        <v>30</v>
      </c>
      <c r="I22" s="55">
        <v>300</v>
      </c>
      <c r="J22" s="49" t="s">
        <v>36</v>
      </c>
      <c r="K22" s="49" t="s">
        <v>37</v>
      </c>
      <c r="L22" s="1"/>
      <c r="M22" s="147"/>
      <c r="N22" s="148"/>
    </row>
    <row r="23" spans="1:15" ht="15.75" customHeight="1">
      <c r="A23" s="158">
        <v>2</v>
      </c>
      <c r="B23" s="158" t="s">
        <v>2764</v>
      </c>
      <c r="C23" s="158" t="s">
        <v>227</v>
      </c>
      <c r="D23" s="49" t="s">
        <v>250</v>
      </c>
      <c r="E23" s="49" t="s">
        <v>251</v>
      </c>
      <c r="F23" s="49"/>
      <c r="G23" s="49" t="s">
        <v>35</v>
      </c>
      <c r="H23" s="54">
        <v>100</v>
      </c>
      <c r="I23" s="55">
        <v>20</v>
      </c>
      <c r="J23" s="49" t="s">
        <v>36</v>
      </c>
      <c r="K23" s="49" t="s">
        <v>37</v>
      </c>
      <c r="L23" s="1"/>
      <c r="M23" s="147"/>
      <c r="N23" s="148"/>
    </row>
    <row r="24" spans="1:15" ht="15.75" customHeight="1">
      <c r="A24" s="158">
        <v>2</v>
      </c>
      <c r="B24" s="158" t="s">
        <v>2765</v>
      </c>
      <c r="C24" s="158" t="s">
        <v>227</v>
      </c>
      <c r="D24" s="49" t="s">
        <v>2766</v>
      </c>
      <c r="E24" s="49" t="s">
        <v>390</v>
      </c>
      <c r="F24" s="49"/>
      <c r="G24" s="49" t="s">
        <v>35</v>
      </c>
      <c r="H24" s="54">
        <v>250</v>
      </c>
      <c r="I24" s="55">
        <v>50</v>
      </c>
      <c r="J24" s="49" t="s">
        <v>36</v>
      </c>
      <c r="K24" s="49" t="s">
        <v>37</v>
      </c>
      <c r="L24" s="1"/>
      <c r="M24" s="147">
        <v>50</v>
      </c>
      <c r="N24" s="148"/>
    </row>
    <row r="25" spans="1:15" ht="15.75" customHeight="1">
      <c r="A25" s="158">
        <v>2</v>
      </c>
      <c r="B25" s="158" t="s">
        <v>2767</v>
      </c>
      <c r="C25" s="158" t="s">
        <v>227</v>
      </c>
      <c r="D25" s="49" t="s">
        <v>2141</v>
      </c>
      <c r="E25" s="49" t="s">
        <v>323</v>
      </c>
      <c r="F25" s="49"/>
      <c r="G25" s="49" t="s">
        <v>35</v>
      </c>
      <c r="H25" s="54">
        <v>14000</v>
      </c>
      <c r="I25" s="55" t="s">
        <v>2274</v>
      </c>
      <c r="J25" s="49" t="s">
        <v>36</v>
      </c>
      <c r="K25" s="49" t="s">
        <v>37</v>
      </c>
      <c r="L25" s="1"/>
      <c r="M25" s="147">
        <v>450</v>
      </c>
      <c r="N25" s="148"/>
    </row>
    <row r="26" spans="1:15" ht="15.75" customHeight="1">
      <c r="A26" s="158">
        <v>2</v>
      </c>
      <c r="B26" s="158" t="s">
        <v>2768</v>
      </c>
      <c r="C26" s="158" t="s">
        <v>227</v>
      </c>
      <c r="D26" s="49" t="s">
        <v>487</v>
      </c>
      <c r="E26" s="49" t="s">
        <v>321</v>
      </c>
      <c r="F26" s="49"/>
      <c r="G26" s="49" t="s">
        <v>35</v>
      </c>
      <c r="H26" s="54">
        <v>7000</v>
      </c>
      <c r="I26" s="55">
        <v>1400</v>
      </c>
      <c r="J26" s="49" t="s">
        <v>36</v>
      </c>
      <c r="K26" s="49" t="s">
        <v>37</v>
      </c>
      <c r="L26" s="1"/>
      <c r="M26" s="147">
        <v>900</v>
      </c>
      <c r="N26" s="148"/>
    </row>
    <row r="27" spans="1:15" ht="15.75" customHeight="1">
      <c r="A27" s="158">
        <v>2</v>
      </c>
      <c r="B27" s="158" t="s">
        <v>2769</v>
      </c>
      <c r="C27" s="158" t="s">
        <v>227</v>
      </c>
      <c r="D27" s="49" t="s">
        <v>1640</v>
      </c>
      <c r="E27" s="49" t="s">
        <v>254</v>
      </c>
      <c r="F27" s="49"/>
      <c r="G27" s="49" t="s">
        <v>35</v>
      </c>
      <c r="H27" s="54">
        <v>1500</v>
      </c>
      <c r="I27" s="55">
        <v>300</v>
      </c>
      <c r="J27" s="49" t="s">
        <v>36</v>
      </c>
      <c r="K27" s="49" t="s">
        <v>37</v>
      </c>
      <c r="L27" s="1"/>
      <c r="M27" s="147">
        <v>600</v>
      </c>
      <c r="N27" s="148"/>
    </row>
    <row r="28" spans="1:15" ht="15.75" customHeight="1">
      <c r="A28" s="158">
        <v>2</v>
      </c>
      <c r="B28" s="158" t="s">
        <v>2769</v>
      </c>
      <c r="C28" s="158" t="s">
        <v>227</v>
      </c>
      <c r="D28" s="49" t="s">
        <v>1640</v>
      </c>
      <c r="E28" s="49" t="s">
        <v>254</v>
      </c>
      <c r="F28" s="49"/>
      <c r="G28" s="49" t="s">
        <v>2589</v>
      </c>
      <c r="H28" s="54">
        <v>5</v>
      </c>
      <c r="I28" s="55">
        <v>50</v>
      </c>
      <c r="J28" s="49" t="s">
        <v>36</v>
      </c>
      <c r="K28" s="49" t="s">
        <v>37</v>
      </c>
      <c r="L28" s="1"/>
      <c r="M28" s="147"/>
      <c r="N28" s="148"/>
    </row>
    <row r="29" spans="1:15" ht="15.75" customHeight="1">
      <c r="A29" s="158">
        <v>2</v>
      </c>
      <c r="B29" s="158" t="s">
        <v>2770</v>
      </c>
      <c r="C29" s="158" t="s">
        <v>227</v>
      </c>
      <c r="D29" s="49" t="s">
        <v>198</v>
      </c>
      <c r="E29" s="49" t="s">
        <v>307</v>
      </c>
      <c r="F29" s="49"/>
      <c r="G29" s="49" t="s">
        <v>35</v>
      </c>
      <c r="H29" s="54">
        <v>100</v>
      </c>
      <c r="I29" s="55">
        <v>20</v>
      </c>
      <c r="J29" s="49" t="s">
        <v>36</v>
      </c>
      <c r="K29" s="49" t="s">
        <v>37</v>
      </c>
      <c r="L29" s="1"/>
      <c r="M29" s="147">
        <v>20</v>
      </c>
      <c r="N29" s="148"/>
    </row>
    <row r="30" spans="1:15" ht="15.75" customHeight="1">
      <c r="A30" s="158">
        <v>2</v>
      </c>
      <c r="B30" s="158" t="s">
        <v>915</v>
      </c>
      <c r="C30" s="158" t="s">
        <v>227</v>
      </c>
      <c r="D30" s="49" t="s">
        <v>916</v>
      </c>
      <c r="E30" s="49" t="s">
        <v>917</v>
      </c>
      <c r="F30" s="49"/>
      <c r="G30" s="49" t="s">
        <v>35</v>
      </c>
      <c r="H30" s="54">
        <v>15000</v>
      </c>
      <c r="I30" s="55">
        <v>3000</v>
      </c>
      <c r="J30" s="49" t="s">
        <v>36</v>
      </c>
      <c r="K30" s="49" t="s">
        <v>37</v>
      </c>
      <c r="L30" s="1"/>
      <c r="M30" s="147">
        <v>605</v>
      </c>
      <c r="N30" s="148"/>
    </row>
    <row r="31" spans="1:15" ht="15.75" customHeight="1">
      <c r="A31" s="158">
        <v>2</v>
      </c>
      <c r="B31" s="158" t="s">
        <v>915</v>
      </c>
      <c r="C31" s="158" t="s">
        <v>227</v>
      </c>
      <c r="D31" s="49" t="s">
        <v>916</v>
      </c>
      <c r="E31" s="49" t="s">
        <v>917</v>
      </c>
      <c r="F31" s="49"/>
      <c r="G31" s="49" t="s">
        <v>2589</v>
      </c>
      <c r="H31" s="54">
        <v>20</v>
      </c>
      <c r="I31" s="55">
        <v>200</v>
      </c>
      <c r="J31" s="49" t="s">
        <v>36</v>
      </c>
      <c r="K31" s="49" t="s">
        <v>37</v>
      </c>
      <c r="L31" s="1"/>
      <c r="M31" s="147"/>
      <c r="N31" s="148"/>
    </row>
    <row r="32" spans="1:15" ht="15.75" customHeight="1">
      <c r="A32" s="158">
        <v>2</v>
      </c>
      <c r="B32" s="158" t="s">
        <v>2771</v>
      </c>
      <c r="C32" s="158" t="s">
        <v>227</v>
      </c>
      <c r="D32" s="49" t="s">
        <v>370</v>
      </c>
      <c r="E32" s="49" t="s">
        <v>321</v>
      </c>
      <c r="F32" s="49"/>
      <c r="G32" s="49" t="s">
        <v>35</v>
      </c>
      <c r="H32" s="54">
        <v>4200</v>
      </c>
      <c r="I32" s="55">
        <v>840</v>
      </c>
      <c r="J32" s="49" t="s">
        <v>36</v>
      </c>
      <c r="K32" s="49" t="s">
        <v>37</v>
      </c>
      <c r="L32" s="1"/>
      <c r="M32" s="147">
        <v>500</v>
      </c>
      <c r="N32" s="148"/>
    </row>
    <row r="33" spans="1:15" ht="15.75" customHeight="1">
      <c r="A33" s="158">
        <v>2</v>
      </c>
      <c r="B33" s="158" t="s">
        <v>2772</v>
      </c>
      <c r="C33" s="158" t="s">
        <v>227</v>
      </c>
      <c r="D33" s="49" t="s">
        <v>751</v>
      </c>
      <c r="E33" s="49" t="s">
        <v>193</v>
      </c>
      <c r="F33" s="49"/>
      <c r="G33" s="49" t="s">
        <v>35</v>
      </c>
      <c r="H33" s="54">
        <v>500</v>
      </c>
      <c r="I33" s="55">
        <v>100</v>
      </c>
      <c r="J33" s="49" t="s">
        <v>36</v>
      </c>
      <c r="K33" s="49" t="s">
        <v>37</v>
      </c>
      <c r="L33" s="1"/>
      <c r="M33" s="147">
        <v>250</v>
      </c>
      <c r="N33" s="148"/>
    </row>
    <row r="34" spans="1:15" ht="15.75" customHeight="1">
      <c r="A34" s="158">
        <v>2</v>
      </c>
      <c r="B34" s="158" t="s">
        <v>2772</v>
      </c>
      <c r="C34" s="158" t="s">
        <v>227</v>
      </c>
      <c r="D34" s="49" t="s">
        <v>751</v>
      </c>
      <c r="E34" s="49" t="s">
        <v>193</v>
      </c>
      <c r="F34" s="49"/>
      <c r="G34" s="49" t="s">
        <v>2589</v>
      </c>
      <c r="H34" s="54">
        <v>30</v>
      </c>
      <c r="I34" s="55">
        <v>300</v>
      </c>
      <c r="J34" s="49" t="s">
        <v>36</v>
      </c>
      <c r="K34" s="49" t="s">
        <v>37</v>
      </c>
      <c r="L34" s="1"/>
      <c r="M34" s="147"/>
      <c r="N34" s="148"/>
    </row>
    <row r="35" spans="1:15" ht="15.75" customHeight="1">
      <c r="A35" s="49">
        <v>3</v>
      </c>
      <c r="B35" s="49" t="s">
        <v>2773</v>
      </c>
      <c r="C35" s="49" t="s">
        <v>227</v>
      </c>
      <c r="D35" s="49" t="s">
        <v>2774</v>
      </c>
      <c r="E35" s="49" t="s">
        <v>164</v>
      </c>
      <c r="F35" s="49"/>
      <c r="G35" s="49" t="s">
        <v>35</v>
      </c>
      <c r="H35" s="54">
        <v>2000</v>
      </c>
      <c r="I35" s="55">
        <v>400</v>
      </c>
      <c r="J35" s="49" t="s">
        <v>36</v>
      </c>
      <c r="K35" s="49" t="s">
        <v>37</v>
      </c>
      <c r="L35" s="1"/>
      <c r="M35" s="147">
        <v>300</v>
      </c>
      <c r="N35" s="148"/>
    </row>
    <row r="36" spans="1:15" ht="15.75" customHeight="1">
      <c r="A36" s="49">
        <v>3</v>
      </c>
      <c r="B36" s="49" t="s">
        <v>2775</v>
      </c>
      <c r="C36" s="49" t="s">
        <v>227</v>
      </c>
      <c r="D36" s="49" t="s">
        <v>33</v>
      </c>
      <c r="E36" s="49" t="s">
        <v>251</v>
      </c>
      <c r="F36" s="49"/>
      <c r="G36" s="49" t="s">
        <v>35</v>
      </c>
      <c r="H36" s="54">
        <v>2500</v>
      </c>
      <c r="I36" s="55">
        <v>500</v>
      </c>
      <c r="J36" s="49" t="s">
        <v>36</v>
      </c>
      <c r="K36" s="49" t="s">
        <v>37</v>
      </c>
      <c r="L36" s="1"/>
      <c r="M36" s="147">
        <v>900</v>
      </c>
      <c r="N36" s="148"/>
    </row>
    <row r="37" spans="1:15" ht="15.75" customHeight="1">
      <c r="A37" s="49">
        <v>3</v>
      </c>
      <c r="B37" s="49" t="s">
        <v>2776</v>
      </c>
      <c r="C37" s="49" t="s">
        <v>227</v>
      </c>
      <c r="D37" s="49" t="s">
        <v>679</v>
      </c>
      <c r="E37" s="49" t="s">
        <v>232</v>
      </c>
      <c r="F37" s="49"/>
      <c r="G37" s="49" t="s">
        <v>35</v>
      </c>
      <c r="H37" s="54">
        <v>5000</v>
      </c>
      <c r="I37" s="55">
        <v>1000</v>
      </c>
      <c r="J37" s="49" t="s">
        <v>36</v>
      </c>
      <c r="K37" s="49" t="s">
        <v>37</v>
      </c>
      <c r="L37" s="1"/>
      <c r="M37" s="147">
        <v>900</v>
      </c>
      <c r="N37" s="148"/>
    </row>
    <row r="38" spans="1:15" ht="15.75" customHeight="1">
      <c r="A38" s="49">
        <v>3</v>
      </c>
      <c r="B38" s="49" t="s">
        <v>2776</v>
      </c>
      <c r="C38" s="49" t="s">
        <v>227</v>
      </c>
      <c r="D38" s="49" t="s">
        <v>679</v>
      </c>
      <c r="E38" s="49" t="s">
        <v>232</v>
      </c>
      <c r="F38" s="49"/>
      <c r="G38" s="49" t="s">
        <v>2589</v>
      </c>
      <c r="H38" s="54">
        <v>20</v>
      </c>
      <c r="I38" s="55">
        <v>200</v>
      </c>
      <c r="J38" s="49" t="s">
        <v>36</v>
      </c>
      <c r="K38" s="49" t="s">
        <v>37</v>
      </c>
      <c r="L38" s="1"/>
      <c r="M38" s="147"/>
      <c r="N38" s="148"/>
    </row>
    <row r="39" spans="1:15" ht="15.75" customHeight="1">
      <c r="A39" s="49">
        <v>3</v>
      </c>
      <c r="B39" s="49" t="s">
        <v>2777</v>
      </c>
      <c r="C39" s="49" t="s">
        <v>227</v>
      </c>
      <c r="D39" s="49" t="s">
        <v>32</v>
      </c>
      <c r="E39" s="49" t="s">
        <v>164</v>
      </c>
      <c r="F39" s="49"/>
      <c r="G39" s="49" t="s">
        <v>35</v>
      </c>
      <c r="H39" s="54">
        <v>15000</v>
      </c>
      <c r="I39" s="55">
        <v>3000</v>
      </c>
      <c r="J39" s="49" t="s">
        <v>36</v>
      </c>
      <c r="K39" s="49" t="s">
        <v>37</v>
      </c>
      <c r="L39" s="1"/>
      <c r="M39" s="147">
        <v>5000</v>
      </c>
      <c r="N39" s="148"/>
    </row>
    <row r="40" spans="1:15" ht="15.75" customHeight="1">
      <c r="A40" s="49">
        <v>3</v>
      </c>
      <c r="B40" s="49" t="s">
        <v>2777</v>
      </c>
      <c r="C40" s="49" t="s">
        <v>227</v>
      </c>
      <c r="D40" s="49" t="s">
        <v>32</v>
      </c>
      <c r="E40" s="49" t="s">
        <v>164</v>
      </c>
      <c r="F40" s="101"/>
      <c r="G40" s="101" t="s">
        <v>2589</v>
      </c>
      <c r="H40" s="137">
        <v>30</v>
      </c>
      <c r="I40" s="102">
        <v>300</v>
      </c>
      <c r="J40" s="49" t="s">
        <v>36</v>
      </c>
      <c r="K40" s="49" t="s">
        <v>37</v>
      </c>
      <c r="L40" s="146"/>
      <c r="M40" s="147"/>
      <c r="N40" s="148"/>
    </row>
    <row r="41" spans="1:15" ht="15.75" customHeight="1">
      <c r="A41" s="17">
        <v>3</v>
      </c>
      <c r="B41" s="17" t="s">
        <v>2778</v>
      </c>
      <c r="C41" s="17" t="s">
        <v>227</v>
      </c>
      <c r="D41" s="17" t="s">
        <v>304</v>
      </c>
      <c r="E41" s="17" t="s">
        <v>241</v>
      </c>
      <c r="F41" s="17"/>
      <c r="G41" s="17" t="s">
        <v>35</v>
      </c>
      <c r="H41" s="138">
        <v>8000</v>
      </c>
      <c r="I41" s="105">
        <v>1600</v>
      </c>
      <c r="J41" s="49" t="s">
        <v>36</v>
      </c>
      <c r="K41" s="49" t="s">
        <v>37</v>
      </c>
      <c r="L41" s="1"/>
      <c r="M41" s="147">
        <v>2500</v>
      </c>
      <c r="N41" s="148"/>
      <c r="O41" s="149"/>
    </row>
    <row r="42" spans="1:15" ht="15.75" customHeight="1">
      <c r="A42" s="49">
        <v>4</v>
      </c>
      <c r="B42" s="49" t="s">
        <v>2545</v>
      </c>
      <c r="C42" s="49" t="s">
        <v>227</v>
      </c>
      <c r="D42" s="49" t="s">
        <v>2779</v>
      </c>
      <c r="E42" s="49" t="s">
        <v>507</v>
      </c>
      <c r="F42" s="49"/>
      <c r="G42" s="49" t="s">
        <v>2708</v>
      </c>
      <c r="H42" s="54">
        <v>1200</v>
      </c>
      <c r="I42" s="55">
        <v>1200</v>
      </c>
      <c r="J42" s="49" t="s">
        <v>36</v>
      </c>
      <c r="K42" s="49" t="s">
        <v>37</v>
      </c>
      <c r="L42" s="1"/>
      <c r="M42" s="147">
        <v>150</v>
      </c>
      <c r="N42" s="148"/>
    </row>
    <row r="43" spans="1:15" ht="15.75" customHeight="1">
      <c r="A43" s="49">
        <v>4</v>
      </c>
      <c r="B43" s="49" t="s">
        <v>2780</v>
      </c>
      <c r="C43" s="49" t="s">
        <v>227</v>
      </c>
      <c r="D43" s="49" t="s">
        <v>905</v>
      </c>
      <c r="E43" s="49" t="s">
        <v>193</v>
      </c>
      <c r="F43" s="49"/>
      <c r="G43" s="49" t="s">
        <v>35</v>
      </c>
      <c r="H43" s="54">
        <v>1000</v>
      </c>
      <c r="I43" s="55">
        <v>200</v>
      </c>
      <c r="J43" s="49" t="s">
        <v>36</v>
      </c>
      <c r="K43" s="49" t="s">
        <v>37</v>
      </c>
      <c r="L43" s="1"/>
      <c r="M43" s="147">
        <v>1500</v>
      </c>
      <c r="N43" s="148"/>
    </row>
    <row r="44" spans="1:15" ht="15.75" customHeight="1">
      <c r="A44" s="49">
        <v>4</v>
      </c>
      <c r="B44" s="49" t="s">
        <v>2780</v>
      </c>
      <c r="C44" s="49" t="s">
        <v>227</v>
      </c>
      <c r="D44" s="49" t="s">
        <v>905</v>
      </c>
      <c r="E44" s="49" t="s">
        <v>193</v>
      </c>
      <c r="F44" s="49"/>
      <c r="G44" s="49"/>
      <c r="H44" s="54">
        <v>500</v>
      </c>
      <c r="I44" s="55" t="s">
        <v>2274</v>
      </c>
      <c r="J44" s="49" t="s">
        <v>36</v>
      </c>
      <c r="K44" s="49" t="s">
        <v>37</v>
      </c>
      <c r="L44" s="1"/>
      <c r="M44" s="147"/>
      <c r="N44" s="148"/>
    </row>
    <row r="45" spans="1:15" ht="15.75" customHeight="1">
      <c r="A45" s="49">
        <v>4</v>
      </c>
      <c r="B45" s="49" t="s">
        <v>2781</v>
      </c>
      <c r="C45" s="49" t="s">
        <v>227</v>
      </c>
      <c r="D45" s="49" t="s">
        <v>33</v>
      </c>
      <c r="E45" s="49" t="s">
        <v>199</v>
      </c>
      <c r="F45" s="49"/>
      <c r="G45" s="49" t="s">
        <v>35</v>
      </c>
      <c r="H45" s="54">
        <v>30000</v>
      </c>
      <c r="I45" s="55">
        <v>6000</v>
      </c>
      <c r="J45" s="49" t="s">
        <v>36</v>
      </c>
      <c r="K45" s="49" t="s">
        <v>37</v>
      </c>
      <c r="L45" s="1"/>
      <c r="M45" s="147">
        <v>10000</v>
      </c>
      <c r="N45" s="148"/>
    </row>
    <row r="46" spans="1:15" ht="15.75" customHeight="1">
      <c r="A46" s="49">
        <v>4</v>
      </c>
      <c r="B46" s="49" t="s">
        <v>2782</v>
      </c>
      <c r="C46" s="49" t="s">
        <v>227</v>
      </c>
      <c r="D46" s="49" t="s">
        <v>352</v>
      </c>
      <c r="E46" s="49" t="s">
        <v>307</v>
      </c>
      <c r="F46" s="49"/>
      <c r="G46" s="49" t="s">
        <v>35</v>
      </c>
      <c r="H46" s="54">
        <v>3000</v>
      </c>
      <c r="I46" s="55" t="s">
        <v>2274</v>
      </c>
      <c r="J46" s="49" t="s">
        <v>36</v>
      </c>
      <c r="K46" s="49" t="s">
        <v>37</v>
      </c>
      <c r="L46" s="1"/>
      <c r="M46" s="147">
        <v>5000</v>
      </c>
      <c r="N46" s="148"/>
    </row>
    <row r="47" spans="1:15" ht="15.75" customHeight="1">
      <c r="A47" s="49">
        <v>5</v>
      </c>
      <c r="B47" s="49" t="s">
        <v>2783</v>
      </c>
      <c r="C47" s="49" t="s">
        <v>227</v>
      </c>
      <c r="D47" s="49" t="s">
        <v>679</v>
      </c>
      <c r="E47" s="49" t="s">
        <v>232</v>
      </c>
      <c r="F47" s="49"/>
      <c r="G47" s="49" t="s">
        <v>35</v>
      </c>
      <c r="H47" s="54">
        <v>5500</v>
      </c>
      <c r="I47" s="55">
        <v>1100</v>
      </c>
      <c r="J47" s="49" t="s">
        <v>36</v>
      </c>
      <c r="K47" s="49" t="s">
        <v>37</v>
      </c>
      <c r="L47" s="1"/>
      <c r="M47" s="147">
        <v>1000</v>
      </c>
      <c r="N47" s="148"/>
    </row>
    <row r="48" spans="1:15" ht="15.75" customHeight="1">
      <c r="A48" s="49">
        <v>5</v>
      </c>
      <c r="B48" s="49" t="s">
        <v>2783</v>
      </c>
      <c r="C48" s="49" t="s">
        <v>227</v>
      </c>
      <c r="D48" s="49" t="s">
        <v>679</v>
      </c>
      <c r="E48" s="49" t="s">
        <v>232</v>
      </c>
      <c r="F48" s="49"/>
      <c r="G48" s="49"/>
      <c r="H48" s="54">
        <v>500</v>
      </c>
      <c r="I48" s="55" t="s">
        <v>2274</v>
      </c>
      <c r="J48" s="49" t="s">
        <v>36</v>
      </c>
      <c r="K48" s="49" t="s">
        <v>37</v>
      </c>
      <c r="L48" s="1"/>
      <c r="M48" s="147"/>
      <c r="N48" s="148"/>
    </row>
    <row r="49" spans="1:17" ht="15.75" customHeight="1">
      <c r="A49" s="49">
        <v>5</v>
      </c>
      <c r="B49" s="49" t="s">
        <v>2783</v>
      </c>
      <c r="C49" s="49" t="s">
        <v>227</v>
      </c>
      <c r="D49" s="49" t="s">
        <v>679</v>
      </c>
      <c r="E49" s="49" t="s">
        <v>232</v>
      </c>
      <c r="F49" s="49"/>
      <c r="G49" s="49" t="s">
        <v>2589</v>
      </c>
      <c r="H49" s="49">
        <v>10</v>
      </c>
      <c r="I49" s="55">
        <v>100</v>
      </c>
      <c r="J49" s="49" t="s">
        <v>36</v>
      </c>
      <c r="K49" s="49" t="s">
        <v>37</v>
      </c>
      <c r="L49" s="1"/>
      <c r="M49" s="148"/>
      <c r="N49" s="148"/>
    </row>
    <row r="50" spans="1:17" ht="15.75" customHeight="1">
      <c r="A50" s="101">
        <v>5</v>
      </c>
      <c r="B50" s="101" t="s">
        <v>2784</v>
      </c>
      <c r="C50" s="101" t="s">
        <v>227</v>
      </c>
      <c r="D50" s="101" t="s">
        <v>1377</v>
      </c>
      <c r="E50" s="101" t="s">
        <v>248</v>
      </c>
      <c r="F50" s="101"/>
      <c r="G50" s="101" t="s">
        <v>35</v>
      </c>
      <c r="H50" s="101">
        <v>3500</v>
      </c>
      <c r="I50" s="102">
        <v>700</v>
      </c>
      <c r="J50" s="49" t="s">
        <v>36</v>
      </c>
      <c r="K50" s="49" t="s">
        <v>37</v>
      </c>
      <c r="L50" s="146"/>
      <c r="M50" s="148">
        <v>100</v>
      </c>
      <c r="N50" s="148"/>
    </row>
    <row r="51" spans="1:17" ht="15.75" customHeight="1">
      <c r="A51" s="17">
        <v>5</v>
      </c>
      <c r="B51" s="17" t="s">
        <v>2785</v>
      </c>
      <c r="C51" s="17" t="s">
        <v>246</v>
      </c>
      <c r="D51" s="17" t="s">
        <v>297</v>
      </c>
      <c r="E51" s="17" t="s">
        <v>51</v>
      </c>
      <c r="F51" s="17"/>
      <c r="G51" s="17" t="s">
        <v>35</v>
      </c>
      <c r="H51" s="17">
        <v>4000</v>
      </c>
      <c r="I51" s="105">
        <v>800</v>
      </c>
      <c r="J51" s="49" t="s">
        <v>36</v>
      </c>
      <c r="K51" s="49" t="s">
        <v>37</v>
      </c>
      <c r="L51" s="1"/>
      <c r="M51" s="147">
        <v>800</v>
      </c>
      <c r="N51" s="148"/>
      <c r="O51" s="149"/>
      <c r="P51" s="1"/>
      <c r="Q51" s="1"/>
    </row>
    <row r="52" spans="1:17" ht="15.75" customHeight="1">
      <c r="A52" s="49">
        <v>5</v>
      </c>
      <c r="B52" s="49" t="s">
        <v>274</v>
      </c>
      <c r="C52" s="49" t="s">
        <v>246</v>
      </c>
      <c r="D52" s="49" t="s">
        <v>244</v>
      </c>
      <c r="E52" s="49" t="s">
        <v>235</v>
      </c>
      <c r="F52" s="49"/>
      <c r="G52" s="49" t="s">
        <v>35</v>
      </c>
      <c r="H52" s="49">
        <v>400</v>
      </c>
      <c r="I52" s="55">
        <v>80</v>
      </c>
      <c r="J52" s="49" t="s">
        <v>36</v>
      </c>
      <c r="K52" s="49" t="s">
        <v>37</v>
      </c>
      <c r="L52" s="1"/>
      <c r="M52" s="147">
        <v>180</v>
      </c>
      <c r="N52" s="148"/>
      <c r="O52" s="1"/>
      <c r="P52" s="1"/>
      <c r="Q52" s="1"/>
    </row>
    <row r="53" spans="1:17" ht="15.75" customHeight="1">
      <c r="A53" s="49">
        <v>5</v>
      </c>
      <c r="B53" s="49" t="s">
        <v>2786</v>
      </c>
      <c r="C53" s="49" t="s">
        <v>227</v>
      </c>
      <c r="D53" s="49" t="s">
        <v>2787</v>
      </c>
      <c r="E53" s="49" t="s">
        <v>156</v>
      </c>
      <c r="F53" s="49"/>
      <c r="G53" s="49" t="s">
        <v>35</v>
      </c>
      <c r="H53" s="49">
        <v>500</v>
      </c>
      <c r="I53" s="55">
        <v>100</v>
      </c>
      <c r="J53" s="49" t="s">
        <v>36</v>
      </c>
      <c r="K53" s="49" t="s">
        <v>37</v>
      </c>
      <c r="L53" s="1"/>
      <c r="M53" s="148"/>
      <c r="N53" s="148"/>
      <c r="O53" s="1"/>
      <c r="P53" s="1"/>
      <c r="Q53" s="1"/>
    </row>
    <row r="54" spans="1:17" ht="15.75" customHeight="1">
      <c r="A54" s="49">
        <v>5</v>
      </c>
      <c r="B54" s="49" t="s">
        <v>2786</v>
      </c>
      <c r="C54" s="49" t="s">
        <v>227</v>
      </c>
      <c r="D54" s="49" t="s">
        <v>2787</v>
      </c>
      <c r="E54" s="49" t="s">
        <v>156</v>
      </c>
      <c r="F54" s="49"/>
      <c r="G54" s="49" t="s">
        <v>2589</v>
      </c>
      <c r="H54" s="49">
        <v>5</v>
      </c>
      <c r="I54" s="55">
        <v>50</v>
      </c>
      <c r="J54" s="49" t="s">
        <v>36</v>
      </c>
      <c r="K54" s="49" t="s">
        <v>37</v>
      </c>
      <c r="L54" s="1"/>
      <c r="M54" s="148"/>
      <c r="N54" s="148"/>
      <c r="O54" s="1"/>
      <c r="P54" s="1"/>
      <c r="Q54" s="1"/>
    </row>
    <row r="55" spans="1:17" ht="15.75" customHeight="1">
      <c r="A55" s="49">
        <v>5</v>
      </c>
      <c r="B55" s="49" t="s">
        <v>2788</v>
      </c>
      <c r="C55" s="49" t="s">
        <v>227</v>
      </c>
      <c r="D55" s="49" t="s">
        <v>2562</v>
      </c>
      <c r="E55" s="49" t="s">
        <v>235</v>
      </c>
      <c r="F55" s="49"/>
      <c r="G55" s="49" t="s">
        <v>35</v>
      </c>
      <c r="H55" s="49">
        <v>100</v>
      </c>
      <c r="I55" s="55">
        <v>20</v>
      </c>
      <c r="J55" s="49" t="s">
        <v>36</v>
      </c>
      <c r="K55" s="49" t="s">
        <v>37</v>
      </c>
      <c r="L55" s="1"/>
      <c r="M55" s="148">
        <v>20</v>
      </c>
      <c r="N55" s="148"/>
      <c r="O55" s="1"/>
      <c r="P55" s="1"/>
      <c r="Q55" s="1"/>
    </row>
    <row r="56" spans="1:17" ht="15.75" customHeight="1">
      <c r="A56" s="49">
        <v>5</v>
      </c>
      <c r="B56" s="49" t="s">
        <v>2788</v>
      </c>
      <c r="C56" s="49" t="s">
        <v>227</v>
      </c>
      <c r="D56" s="49" t="s">
        <v>2562</v>
      </c>
      <c r="E56" s="49" t="s">
        <v>235</v>
      </c>
      <c r="F56" s="49"/>
      <c r="G56" s="49" t="s">
        <v>2589</v>
      </c>
      <c r="H56" s="49">
        <v>10</v>
      </c>
      <c r="I56" s="55">
        <v>100</v>
      </c>
      <c r="J56" s="49" t="s">
        <v>36</v>
      </c>
      <c r="K56" s="49" t="s">
        <v>37</v>
      </c>
      <c r="L56" s="1"/>
      <c r="M56" s="148"/>
      <c r="N56" s="148"/>
      <c r="O56" s="1"/>
      <c r="P56" s="1"/>
      <c r="Q56" s="1"/>
    </row>
    <row r="57" spans="1:17" ht="15.75" customHeight="1">
      <c r="A57" s="49">
        <v>5</v>
      </c>
      <c r="B57" s="49" t="s">
        <v>2789</v>
      </c>
      <c r="C57" s="49" t="s">
        <v>227</v>
      </c>
      <c r="D57" s="49" t="s">
        <v>33</v>
      </c>
      <c r="E57" s="49" t="s">
        <v>507</v>
      </c>
      <c r="F57" s="49"/>
      <c r="G57" s="49" t="s">
        <v>35</v>
      </c>
      <c r="H57" s="49">
        <v>5000</v>
      </c>
      <c r="I57" s="55">
        <v>1000</v>
      </c>
      <c r="J57" s="49" t="s">
        <v>36</v>
      </c>
      <c r="K57" s="49" t="s">
        <v>37</v>
      </c>
      <c r="L57" s="1"/>
      <c r="M57" s="148">
        <v>1000</v>
      </c>
      <c r="N57" s="148"/>
      <c r="O57" s="1"/>
      <c r="P57" s="1"/>
      <c r="Q57" s="1"/>
    </row>
    <row r="58" spans="1:17" ht="15.75" customHeight="1">
      <c r="A58" s="49">
        <v>5</v>
      </c>
      <c r="B58" s="49" t="s">
        <v>2790</v>
      </c>
      <c r="C58" s="49" t="s">
        <v>227</v>
      </c>
      <c r="D58" s="49" t="s">
        <v>231</v>
      </c>
      <c r="E58" s="49" t="s">
        <v>232</v>
      </c>
      <c r="F58" s="49"/>
      <c r="G58" s="49" t="s">
        <v>35</v>
      </c>
      <c r="H58" s="49">
        <v>650</v>
      </c>
      <c r="I58" s="55">
        <v>130</v>
      </c>
      <c r="J58" s="49" t="s">
        <v>36</v>
      </c>
      <c r="K58" s="49" t="s">
        <v>37</v>
      </c>
      <c r="L58" s="1"/>
      <c r="M58" s="148">
        <v>300</v>
      </c>
      <c r="N58" s="148"/>
      <c r="O58" s="1"/>
      <c r="P58" s="1"/>
      <c r="Q58" s="1"/>
    </row>
    <row r="59" spans="1:17" ht="15.75" customHeight="1">
      <c r="A59" s="49">
        <v>5</v>
      </c>
      <c r="B59" s="49" t="s">
        <v>2790</v>
      </c>
      <c r="C59" s="49" t="s">
        <v>227</v>
      </c>
      <c r="D59" s="49" t="s">
        <v>231</v>
      </c>
      <c r="E59" s="49" t="s">
        <v>232</v>
      </c>
      <c r="F59" s="49"/>
      <c r="G59" s="49" t="s">
        <v>2708</v>
      </c>
      <c r="H59" s="49">
        <v>150</v>
      </c>
      <c r="I59" s="55">
        <v>150</v>
      </c>
      <c r="J59" s="49" t="s">
        <v>36</v>
      </c>
      <c r="K59" s="49" t="s">
        <v>37</v>
      </c>
      <c r="L59" s="1"/>
      <c r="M59" s="148"/>
      <c r="N59" s="148"/>
      <c r="O59" s="1"/>
      <c r="P59" s="1"/>
      <c r="Q59" s="1"/>
    </row>
    <row r="60" spans="1:17" ht="15.75" customHeight="1">
      <c r="A60" s="49">
        <v>5</v>
      </c>
      <c r="B60" s="49" t="s">
        <v>2791</v>
      </c>
      <c r="C60" s="49" t="s">
        <v>227</v>
      </c>
      <c r="D60" s="49" t="s">
        <v>604</v>
      </c>
      <c r="E60" s="49" t="s">
        <v>321</v>
      </c>
      <c r="F60" s="49"/>
      <c r="G60" s="49" t="s">
        <v>35</v>
      </c>
      <c r="H60" s="49">
        <v>5000</v>
      </c>
      <c r="I60" s="55">
        <v>1000</v>
      </c>
      <c r="J60" s="49" t="s">
        <v>36</v>
      </c>
      <c r="K60" s="49" t="s">
        <v>37</v>
      </c>
      <c r="L60" s="1"/>
      <c r="M60" s="148">
        <v>550</v>
      </c>
      <c r="N60" s="148"/>
      <c r="O60" s="1"/>
      <c r="P60" s="1"/>
      <c r="Q60" s="1"/>
    </row>
    <row r="61" spans="1:17" ht="15.75" customHeight="1">
      <c r="A61" s="101">
        <v>6</v>
      </c>
      <c r="B61" s="101" t="s">
        <v>1324</v>
      </c>
      <c r="C61" s="101" t="s">
        <v>227</v>
      </c>
      <c r="D61" s="101" t="s">
        <v>385</v>
      </c>
      <c r="E61" s="101" t="s">
        <v>232</v>
      </c>
      <c r="F61" s="101"/>
      <c r="G61" s="101" t="s">
        <v>35</v>
      </c>
      <c r="H61" s="101">
        <v>2000</v>
      </c>
      <c r="I61" s="102">
        <v>400</v>
      </c>
      <c r="J61" s="49" t="s">
        <v>36</v>
      </c>
      <c r="K61" s="49" t="s">
        <v>37</v>
      </c>
      <c r="L61" s="146"/>
      <c r="M61" s="148">
        <v>500</v>
      </c>
      <c r="N61" s="148"/>
      <c r="O61" s="1"/>
      <c r="P61" s="1"/>
      <c r="Q61" s="1"/>
    </row>
    <row r="62" spans="1:17" ht="15.75" customHeight="1">
      <c r="A62" s="17">
        <v>6</v>
      </c>
      <c r="B62" s="17" t="s">
        <v>243</v>
      </c>
      <c r="C62" s="17" t="s">
        <v>227</v>
      </c>
      <c r="D62" s="17" t="s">
        <v>244</v>
      </c>
      <c r="E62" s="17" t="s">
        <v>235</v>
      </c>
      <c r="F62" s="17"/>
      <c r="G62" s="17" t="s">
        <v>35</v>
      </c>
      <c r="H62" s="17">
        <v>300</v>
      </c>
      <c r="I62" s="105">
        <v>60</v>
      </c>
      <c r="J62" s="49" t="s">
        <v>36</v>
      </c>
      <c r="K62" s="49" t="s">
        <v>37</v>
      </c>
      <c r="L62" s="1"/>
      <c r="M62" s="148">
        <v>60</v>
      </c>
      <c r="N62" s="148"/>
      <c r="O62" s="149"/>
      <c r="P62" s="1"/>
      <c r="Q62" s="1"/>
    </row>
    <row r="63" spans="1:17" ht="15.75" customHeight="1">
      <c r="A63" s="17">
        <v>6</v>
      </c>
      <c r="B63" s="17" t="s">
        <v>243</v>
      </c>
      <c r="C63" s="17" t="s">
        <v>227</v>
      </c>
      <c r="D63" s="17" t="s">
        <v>244</v>
      </c>
      <c r="E63" s="17" t="s">
        <v>235</v>
      </c>
      <c r="F63" s="49"/>
      <c r="G63" s="49" t="s">
        <v>2589</v>
      </c>
      <c r="H63" s="49">
        <v>3</v>
      </c>
      <c r="I63" s="55">
        <v>30</v>
      </c>
      <c r="J63" s="49" t="s">
        <v>36</v>
      </c>
      <c r="K63" s="49" t="s">
        <v>37</v>
      </c>
      <c r="L63" s="1"/>
      <c r="M63" s="148"/>
      <c r="N63" s="148"/>
      <c r="O63" s="1"/>
      <c r="P63" s="1"/>
      <c r="Q63" s="1"/>
    </row>
    <row r="64" spans="1:17" ht="15.75" customHeight="1">
      <c r="A64" s="49">
        <v>7</v>
      </c>
      <c r="B64" s="49" t="s">
        <v>2792</v>
      </c>
      <c r="C64" s="49" t="s">
        <v>246</v>
      </c>
      <c r="D64" s="49" t="s">
        <v>550</v>
      </c>
      <c r="E64" s="49" t="s">
        <v>193</v>
      </c>
      <c r="F64" s="49"/>
      <c r="G64" s="49" t="s">
        <v>35</v>
      </c>
      <c r="H64" s="49">
        <v>1500</v>
      </c>
      <c r="I64" s="55">
        <v>300</v>
      </c>
      <c r="J64" s="49" t="s">
        <v>36</v>
      </c>
      <c r="K64" s="49" t="s">
        <v>37</v>
      </c>
      <c r="L64" s="1"/>
      <c r="M64" s="148">
        <v>300</v>
      </c>
      <c r="N64" s="148"/>
      <c r="O64" s="1"/>
      <c r="P64" s="1"/>
      <c r="Q64" s="1"/>
    </row>
    <row r="65" spans="1:17" ht="15.75" customHeight="1">
      <c r="A65" s="49">
        <v>7</v>
      </c>
      <c r="B65" s="49" t="s">
        <v>2792</v>
      </c>
      <c r="C65" s="49" t="s">
        <v>246</v>
      </c>
      <c r="D65" s="49" t="s">
        <v>550</v>
      </c>
      <c r="E65" s="49" t="s">
        <v>193</v>
      </c>
      <c r="F65" s="49"/>
      <c r="G65" s="49" t="s">
        <v>2589</v>
      </c>
      <c r="H65" s="49">
        <v>10</v>
      </c>
      <c r="I65" s="55">
        <v>100</v>
      </c>
      <c r="J65" s="49" t="s">
        <v>36</v>
      </c>
      <c r="K65" s="49" t="s">
        <v>37</v>
      </c>
      <c r="L65" s="1"/>
      <c r="M65" s="148"/>
      <c r="N65" s="148"/>
      <c r="O65" s="1"/>
      <c r="P65" s="1"/>
      <c r="Q65" s="1"/>
    </row>
    <row r="66" spans="1:17" ht="15.75" customHeight="1">
      <c r="A66" s="49">
        <v>7</v>
      </c>
      <c r="B66" s="49" t="s">
        <v>2793</v>
      </c>
      <c r="C66" s="49" t="s">
        <v>227</v>
      </c>
      <c r="D66" s="49" t="s">
        <v>490</v>
      </c>
      <c r="E66" s="49" t="s">
        <v>251</v>
      </c>
      <c r="F66" s="49"/>
      <c r="G66" s="49" t="s">
        <v>35</v>
      </c>
      <c r="H66" s="49">
        <v>2000</v>
      </c>
      <c r="I66" s="55">
        <v>400</v>
      </c>
      <c r="J66" s="49" t="s">
        <v>36</v>
      </c>
      <c r="K66" s="49" t="s">
        <v>37</v>
      </c>
      <c r="L66" s="1"/>
      <c r="M66" s="148">
        <v>300</v>
      </c>
      <c r="N66" s="148"/>
      <c r="O66" s="1"/>
      <c r="P66" s="1"/>
      <c r="Q66" s="1"/>
    </row>
    <row r="67" spans="1:17" ht="15.75" customHeight="1">
      <c r="A67" s="49">
        <v>7</v>
      </c>
      <c r="B67" s="49" t="s">
        <v>2794</v>
      </c>
      <c r="C67" s="49" t="s">
        <v>227</v>
      </c>
      <c r="D67" s="49" t="s">
        <v>332</v>
      </c>
      <c r="E67" s="49" t="s">
        <v>193</v>
      </c>
      <c r="F67" s="49"/>
      <c r="G67" s="49" t="s">
        <v>35</v>
      </c>
      <c r="H67" s="49">
        <v>3000</v>
      </c>
      <c r="I67" s="55">
        <v>600</v>
      </c>
      <c r="J67" s="49" t="s">
        <v>36</v>
      </c>
      <c r="K67" s="49" t="s">
        <v>37</v>
      </c>
      <c r="L67" s="1"/>
      <c r="M67" s="148">
        <v>2500</v>
      </c>
      <c r="N67" s="148"/>
      <c r="O67" s="1"/>
      <c r="P67" s="1"/>
      <c r="Q67" s="1"/>
    </row>
    <row r="68" spans="1:17" ht="15.75" customHeight="1">
      <c r="A68" s="49">
        <v>8</v>
      </c>
      <c r="B68" s="49" t="s">
        <v>2795</v>
      </c>
      <c r="C68" s="49" t="s">
        <v>227</v>
      </c>
      <c r="D68" s="49" t="s">
        <v>244</v>
      </c>
      <c r="E68" s="49" t="s">
        <v>235</v>
      </c>
      <c r="F68" s="49"/>
      <c r="G68" s="49" t="s">
        <v>35</v>
      </c>
      <c r="H68" s="49">
        <v>400</v>
      </c>
      <c r="I68" s="55">
        <v>80</v>
      </c>
      <c r="J68" s="49" t="s">
        <v>36</v>
      </c>
      <c r="K68" s="49" t="s">
        <v>37</v>
      </c>
      <c r="L68" s="1"/>
      <c r="M68" s="148">
        <v>80</v>
      </c>
      <c r="N68" s="148"/>
      <c r="O68" s="1"/>
      <c r="P68" s="1"/>
      <c r="Q68" s="1"/>
    </row>
    <row r="69" spans="1:17" ht="15.75" customHeight="1">
      <c r="A69" s="49">
        <v>8</v>
      </c>
      <c r="B69" s="49" t="s">
        <v>2796</v>
      </c>
      <c r="C69" s="49" t="s">
        <v>227</v>
      </c>
      <c r="D69" s="49" t="s">
        <v>32</v>
      </c>
      <c r="E69" s="49" t="s">
        <v>232</v>
      </c>
      <c r="F69" s="49"/>
      <c r="G69" s="49" t="s">
        <v>35</v>
      </c>
      <c r="H69" s="49">
        <v>1500</v>
      </c>
      <c r="I69" s="55">
        <v>300</v>
      </c>
      <c r="J69" s="49" t="s">
        <v>36</v>
      </c>
      <c r="K69" s="49" t="s">
        <v>37</v>
      </c>
      <c r="L69" s="1"/>
      <c r="M69" s="148"/>
      <c r="N69" s="148"/>
      <c r="O69" s="1"/>
      <c r="P69" s="1"/>
      <c r="Q69" s="1"/>
    </row>
    <row r="70" spans="1:17" ht="15.75" customHeight="1">
      <c r="A70" s="49">
        <v>8</v>
      </c>
      <c r="B70" s="49" t="s">
        <v>2797</v>
      </c>
      <c r="C70" s="49" t="s">
        <v>227</v>
      </c>
      <c r="D70" s="49" t="s">
        <v>988</v>
      </c>
      <c r="E70" s="49" t="s">
        <v>41</v>
      </c>
      <c r="F70" s="49"/>
      <c r="G70" s="49" t="s">
        <v>35</v>
      </c>
      <c r="H70" s="49">
        <v>1000</v>
      </c>
      <c r="I70" s="55">
        <v>200</v>
      </c>
      <c r="J70" s="49" t="s">
        <v>36</v>
      </c>
      <c r="K70" s="49" t="s">
        <v>37</v>
      </c>
      <c r="L70" s="1"/>
      <c r="M70" s="148">
        <v>150</v>
      </c>
      <c r="N70" s="148"/>
      <c r="O70" s="1"/>
      <c r="P70" s="1"/>
      <c r="Q70" s="1"/>
    </row>
    <row r="71" spans="1:17" ht="15.75" customHeight="1">
      <c r="A71" s="49">
        <v>8</v>
      </c>
      <c r="B71" s="49" t="s">
        <v>2798</v>
      </c>
      <c r="C71" s="49" t="s">
        <v>227</v>
      </c>
      <c r="D71" s="49" t="s">
        <v>385</v>
      </c>
      <c r="E71" s="49" t="s">
        <v>232</v>
      </c>
      <c r="F71" s="49"/>
      <c r="G71" s="49" t="s">
        <v>35</v>
      </c>
      <c r="H71" s="49">
        <v>4000</v>
      </c>
      <c r="I71" s="55" t="s">
        <v>2274</v>
      </c>
      <c r="J71" s="49" t="s">
        <v>36</v>
      </c>
      <c r="K71" s="49" t="s">
        <v>37</v>
      </c>
      <c r="L71" s="1"/>
      <c r="M71" s="148">
        <v>800</v>
      </c>
      <c r="N71" s="148"/>
      <c r="O71" s="1"/>
      <c r="P71" s="1"/>
      <c r="Q71" s="1"/>
    </row>
    <row r="72" spans="1:17" ht="15.75" customHeight="1">
      <c r="A72" s="49">
        <v>9</v>
      </c>
      <c r="B72" s="49" t="s">
        <v>2799</v>
      </c>
      <c r="C72" s="49" t="s">
        <v>227</v>
      </c>
      <c r="D72" s="49" t="s">
        <v>407</v>
      </c>
      <c r="E72" s="49" t="s">
        <v>80</v>
      </c>
      <c r="F72" s="49"/>
      <c r="G72" s="49" t="s">
        <v>35</v>
      </c>
      <c r="H72" s="49">
        <v>1200</v>
      </c>
      <c r="I72" s="55" t="s">
        <v>2274</v>
      </c>
      <c r="J72" s="49" t="s">
        <v>36</v>
      </c>
      <c r="K72" s="49" t="s">
        <v>37</v>
      </c>
      <c r="L72" s="1"/>
      <c r="M72" s="148">
        <v>240</v>
      </c>
      <c r="N72" s="148"/>
      <c r="O72" s="1"/>
      <c r="P72" s="1"/>
      <c r="Q72" s="1"/>
    </row>
    <row r="73" spans="1:17" ht="15.75" customHeight="1">
      <c r="A73" s="49">
        <v>9</v>
      </c>
      <c r="B73" s="49" t="s">
        <v>2800</v>
      </c>
      <c r="C73" s="49" t="s">
        <v>227</v>
      </c>
      <c r="D73" s="49" t="s">
        <v>407</v>
      </c>
      <c r="E73" s="49" t="s">
        <v>80</v>
      </c>
      <c r="F73" s="49"/>
      <c r="G73" s="49" t="s">
        <v>35</v>
      </c>
      <c r="H73" s="49">
        <v>1200</v>
      </c>
      <c r="I73" s="55"/>
      <c r="J73" s="49"/>
      <c r="K73" s="49"/>
      <c r="L73" s="1"/>
      <c r="M73" s="148">
        <v>240</v>
      </c>
      <c r="N73" s="148"/>
      <c r="O73" s="1"/>
      <c r="P73" s="1"/>
      <c r="Q73" s="1"/>
    </row>
    <row r="74" spans="1:17" ht="15.75" customHeight="1">
      <c r="A74" s="49"/>
      <c r="B74" s="49"/>
      <c r="C74" s="49"/>
      <c r="D74" s="49"/>
      <c r="E74" s="49"/>
      <c r="F74" s="49"/>
      <c r="G74" s="49"/>
      <c r="H74" s="49"/>
      <c r="I74" s="55"/>
      <c r="J74" s="49"/>
      <c r="K74" s="49"/>
      <c r="L74" s="1"/>
      <c r="M74" s="148"/>
      <c r="N74" s="148"/>
      <c r="O74" s="4"/>
      <c r="P74" s="1"/>
      <c r="Q74" s="1"/>
    </row>
    <row r="75" spans="1:17" ht="15.75" customHeight="1">
      <c r="E75" s="1"/>
      <c r="M75" s="148"/>
      <c r="N75" s="148"/>
    </row>
    <row r="76" spans="1:17" ht="15.75" customHeight="1">
      <c r="A76" s="2"/>
      <c r="B76" s="3"/>
      <c r="C76" s="3"/>
      <c r="D76" s="3"/>
      <c r="E76" s="3"/>
      <c r="F76" s="1"/>
      <c r="G76" s="3"/>
      <c r="H76" s="99"/>
      <c r="I76" s="5"/>
      <c r="J76" s="1"/>
      <c r="K76" s="3"/>
      <c r="M76" s="147">
        <f>SUM(M12:M75)</f>
        <v>46675</v>
      </c>
      <c r="N76" s="147">
        <f>M67+M64+M43+M33+M13</f>
        <v>5450</v>
      </c>
    </row>
    <row r="77" spans="1:17" ht="15.75" customHeight="1">
      <c r="A77" s="1"/>
      <c r="B77" s="1"/>
      <c r="D77" s="1"/>
      <c r="E77" s="1"/>
      <c r="G77" s="1"/>
      <c r="H77" s="4"/>
      <c r="J77" s="1"/>
      <c r="M77" s="148"/>
      <c r="N77" s="148"/>
    </row>
    <row r="78" spans="1:17" ht="15.75" customHeight="1">
      <c r="E78" s="1"/>
      <c r="I78" s="124" t="s">
        <v>53</v>
      </c>
      <c r="J78" s="60"/>
      <c r="M78" s="148"/>
      <c r="N78" s="148"/>
    </row>
    <row r="79" spans="1:17" ht="15.75" customHeight="1">
      <c r="B79" s="61" t="s">
        <v>55</v>
      </c>
      <c r="E79" s="1" t="s">
        <v>56</v>
      </c>
      <c r="I79" s="260" t="s">
        <v>2801</v>
      </c>
      <c r="J79" s="241"/>
      <c r="K79" s="147">
        <f>H12+H13+H15+H16+H17+H18+H19+H21+H23+H24+H26+H27+H29+H30+H32+H33+H35+H36+H37+H39+H41+H43+H45+H47+H50+H51+H52+H53+H55+H57+H58+H60+H61+H62+H64+H66+H67+H68+H69+H70+H73</f>
        <v>153000</v>
      </c>
    </row>
    <row r="80" spans="1:17" ht="15.75" customHeight="1">
      <c r="E80" s="1"/>
      <c r="I80" s="260" t="s">
        <v>2802</v>
      </c>
      <c r="J80" s="241"/>
      <c r="K80" s="147">
        <f>H72+H71+H48+H44+H25</f>
        <v>20200</v>
      </c>
    </row>
    <row r="81" spans="2:11" ht="15.75" customHeight="1">
      <c r="E81" s="1"/>
      <c r="I81" s="260" t="s">
        <v>2803</v>
      </c>
      <c r="J81" s="241"/>
      <c r="K81" s="148"/>
    </row>
    <row r="82" spans="2:11" ht="15.75" customHeight="1">
      <c r="B82" s="65" t="s">
        <v>109</v>
      </c>
      <c r="E82" s="65" t="s">
        <v>61</v>
      </c>
      <c r="F82" s="65"/>
      <c r="G82" s="62"/>
      <c r="I82" s="260" t="s">
        <v>2804</v>
      </c>
      <c r="J82" s="241"/>
      <c r="K82" s="147">
        <f>H65+H63+H56+H54+H49+H40+H38+H34+H31+H28+H22+H20</f>
        <v>193</v>
      </c>
    </row>
    <row r="83" spans="2:11" ht="15.75" customHeight="1">
      <c r="B83" s="61" t="s">
        <v>110</v>
      </c>
      <c r="E83" s="1" t="s">
        <v>124</v>
      </c>
      <c r="I83" s="260" t="s">
        <v>2805</v>
      </c>
      <c r="J83" s="241"/>
      <c r="K83" s="148"/>
    </row>
    <row r="84" spans="2:11" ht="15.75" customHeight="1">
      <c r="E84" s="1"/>
      <c r="I84" s="260" t="s">
        <v>2806</v>
      </c>
      <c r="J84" s="241"/>
      <c r="K84" s="147">
        <f>H59+H42+H14</f>
        <v>1550</v>
      </c>
    </row>
    <row r="85" spans="2:11" ht="15.75" customHeight="1">
      <c r="E85" s="1"/>
      <c r="I85" s="260" t="s">
        <v>66</v>
      </c>
      <c r="J85" s="241"/>
      <c r="K85" s="148"/>
    </row>
    <row r="86" spans="2:11" ht="15.75" customHeight="1">
      <c r="E86" s="1"/>
      <c r="I86" s="259" t="s">
        <v>2807</v>
      </c>
      <c r="J86" s="241"/>
      <c r="K86" s="147">
        <f>M76-N76</f>
        <v>41225</v>
      </c>
    </row>
    <row r="87" spans="2:11" ht="15.75" customHeight="1">
      <c r="E87" s="1"/>
      <c r="I87" s="259" t="s">
        <v>2808</v>
      </c>
      <c r="J87" s="241"/>
    </row>
    <row r="88" spans="2:11" ht="15.75" customHeight="1">
      <c r="E88" s="1"/>
    </row>
    <row r="89" spans="2:11" ht="15.75" customHeight="1">
      <c r="E89" s="1"/>
    </row>
    <row r="90" spans="2:11" ht="15.75" customHeight="1">
      <c r="E90" s="1"/>
    </row>
    <row r="91" spans="2:11" ht="15.75" customHeight="1">
      <c r="E91" s="1"/>
    </row>
    <row r="92" spans="2:11" ht="15.75" customHeight="1">
      <c r="E92" s="1"/>
    </row>
    <row r="93" spans="2:11" ht="15.75" customHeight="1">
      <c r="E93" s="1"/>
    </row>
    <row r="94" spans="2:11" ht="15.75" customHeight="1">
      <c r="E94" s="1"/>
    </row>
    <row r="95" spans="2:11" ht="15.75" customHeight="1">
      <c r="E95" s="1"/>
    </row>
    <row r="96" spans="2:11" ht="15.75" customHeight="1">
      <c r="E96" s="1"/>
    </row>
    <row r="97" spans="5:5" ht="15.75" customHeight="1">
      <c r="E97" s="1"/>
    </row>
    <row r="98" spans="5:5" ht="15.75" customHeight="1">
      <c r="E98" s="1"/>
    </row>
    <row r="99" spans="5:5" ht="15.75" customHeight="1">
      <c r="E99" s="1"/>
    </row>
    <row r="100" spans="5:5" ht="15.75" customHeight="1">
      <c r="E100" s="1"/>
    </row>
    <row r="101" spans="5:5" ht="15.75" customHeight="1">
      <c r="E101" s="1"/>
    </row>
    <row r="102" spans="5:5" ht="15.75" customHeight="1">
      <c r="E102" s="1"/>
    </row>
    <row r="103" spans="5:5" ht="15.75" customHeight="1">
      <c r="E103" s="1"/>
    </row>
    <row r="104" spans="5:5" ht="15.75" customHeight="1">
      <c r="E104" s="1"/>
    </row>
    <row r="105" spans="5:5" ht="15.75" customHeight="1">
      <c r="E105" s="1"/>
    </row>
    <row r="106" spans="5:5" ht="15.75" customHeight="1">
      <c r="E106" s="1"/>
    </row>
    <row r="107" spans="5:5" ht="15.75" customHeight="1">
      <c r="E107" s="1"/>
    </row>
    <row r="108" spans="5:5" ht="15.75" customHeight="1">
      <c r="E108" s="1"/>
    </row>
    <row r="109" spans="5:5" ht="15.75" customHeight="1">
      <c r="E109" s="1"/>
    </row>
    <row r="110" spans="5:5" ht="15.75" customHeight="1">
      <c r="E110" s="1"/>
    </row>
    <row r="111" spans="5:5" ht="15.75" customHeight="1">
      <c r="E111" s="1"/>
    </row>
    <row r="112" spans="5:5" ht="15.75" customHeight="1">
      <c r="E112" s="1"/>
    </row>
    <row r="113" spans="5:5" ht="15.75" customHeight="1">
      <c r="E113" s="1"/>
    </row>
    <row r="114" spans="5:5" ht="15.75" customHeight="1">
      <c r="E114" s="1"/>
    </row>
    <row r="115" spans="5:5" ht="15.75" customHeight="1">
      <c r="E115" s="1"/>
    </row>
    <row r="116" spans="5:5" ht="15.75" customHeight="1">
      <c r="E116" s="1"/>
    </row>
    <row r="117" spans="5:5" ht="15.75" customHeight="1">
      <c r="E117" s="1"/>
    </row>
    <row r="118" spans="5:5" ht="15.75" customHeight="1">
      <c r="E118" s="1"/>
    </row>
    <row r="119" spans="5:5" ht="15.75" customHeight="1">
      <c r="E119" s="1"/>
    </row>
    <row r="120" spans="5:5" ht="15.75" customHeight="1">
      <c r="E120" s="1"/>
    </row>
    <row r="121" spans="5:5" ht="15.75" customHeight="1">
      <c r="E121" s="1"/>
    </row>
    <row r="122" spans="5:5" ht="15.75" customHeight="1">
      <c r="E122" s="1"/>
    </row>
    <row r="123" spans="5:5" ht="15.75" customHeight="1">
      <c r="E123" s="1"/>
    </row>
    <row r="124" spans="5:5" ht="15.75" customHeight="1">
      <c r="E124" s="1"/>
    </row>
    <row r="125" spans="5:5" ht="15.75" customHeight="1">
      <c r="E125" s="1"/>
    </row>
    <row r="126" spans="5:5" ht="15.75" customHeight="1">
      <c r="E126" s="1"/>
    </row>
    <row r="127" spans="5:5" ht="15.75" customHeight="1">
      <c r="E127" s="1"/>
    </row>
    <row r="128" spans="5:5" ht="15.75" customHeight="1">
      <c r="E128" s="1"/>
    </row>
    <row r="129" spans="5:5" ht="15.75" customHeight="1">
      <c r="E129" s="1"/>
    </row>
    <row r="130" spans="5:5" ht="15.75" customHeight="1">
      <c r="E130" s="1"/>
    </row>
    <row r="131" spans="5:5" ht="15.75" customHeight="1">
      <c r="E131" s="1"/>
    </row>
    <row r="132" spans="5:5" ht="15.75" customHeight="1">
      <c r="E132" s="1"/>
    </row>
    <row r="133" spans="5:5" ht="15.75" customHeight="1">
      <c r="E133" s="1"/>
    </row>
    <row r="134" spans="5:5" ht="15.75" customHeight="1">
      <c r="E134" s="1"/>
    </row>
    <row r="135" spans="5:5" ht="15.75" customHeight="1">
      <c r="E135" s="1"/>
    </row>
    <row r="136" spans="5:5" ht="15.75" customHeight="1">
      <c r="E136" s="1"/>
    </row>
    <row r="137" spans="5:5" ht="15.75" customHeight="1">
      <c r="E137" s="1"/>
    </row>
    <row r="138" spans="5:5" ht="15.75" customHeight="1">
      <c r="E138" s="1"/>
    </row>
    <row r="139" spans="5:5" ht="15.75" customHeight="1">
      <c r="E139" s="1"/>
    </row>
    <row r="140" spans="5:5" ht="15.75" customHeight="1">
      <c r="E140" s="1"/>
    </row>
    <row r="141" spans="5:5" ht="15.75" customHeight="1">
      <c r="E141" s="1"/>
    </row>
    <row r="142" spans="5:5" ht="15.75" customHeight="1">
      <c r="E142" s="1"/>
    </row>
    <row r="143" spans="5:5" ht="15.75" customHeight="1">
      <c r="E143" s="1"/>
    </row>
    <row r="144" spans="5:5" ht="15.75" customHeight="1">
      <c r="E144" s="1"/>
    </row>
    <row r="145" spans="5:5" ht="15.75" customHeight="1">
      <c r="E145" s="1"/>
    </row>
    <row r="146" spans="5:5" ht="15.75" customHeight="1">
      <c r="E146" s="1"/>
    </row>
    <row r="147" spans="5:5" ht="15.75" customHeight="1">
      <c r="E147" s="1"/>
    </row>
    <row r="148" spans="5:5" ht="15.75" customHeight="1">
      <c r="E148" s="1"/>
    </row>
    <row r="149" spans="5:5" ht="15.75" customHeight="1">
      <c r="E149" s="1"/>
    </row>
    <row r="150" spans="5:5" ht="15.75" customHeight="1">
      <c r="E150" s="1"/>
    </row>
    <row r="151" spans="5:5" ht="15.75" customHeight="1">
      <c r="E151" s="1"/>
    </row>
    <row r="152" spans="5:5" ht="15.75" customHeight="1">
      <c r="E152" s="1"/>
    </row>
    <row r="153" spans="5:5" ht="15.75" customHeight="1">
      <c r="E153" s="1"/>
    </row>
    <row r="154" spans="5:5" ht="15.75" customHeight="1">
      <c r="E154" s="1"/>
    </row>
    <row r="155" spans="5:5" ht="15.75" customHeight="1">
      <c r="E155" s="1"/>
    </row>
    <row r="156" spans="5:5" ht="15.75" customHeight="1">
      <c r="E156" s="1"/>
    </row>
    <row r="157" spans="5:5" ht="15.75" customHeight="1">
      <c r="E157" s="1"/>
    </row>
    <row r="158" spans="5:5" ht="15.75" customHeight="1">
      <c r="E158" s="1"/>
    </row>
    <row r="159" spans="5:5" ht="15.75" customHeight="1">
      <c r="E159" s="1"/>
    </row>
    <row r="160" spans="5:5" ht="15.75" customHeight="1">
      <c r="E160" s="1"/>
    </row>
    <row r="161" spans="5:5" ht="15.75" customHeight="1">
      <c r="E161" s="1"/>
    </row>
    <row r="162" spans="5:5" ht="15.75" customHeight="1">
      <c r="E162" s="1"/>
    </row>
    <row r="163" spans="5:5" ht="15.75" customHeight="1">
      <c r="E163" s="1"/>
    </row>
    <row r="164" spans="5:5" ht="15.75" customHeight="1">
      <c r="E164" s="1"/>
    </row>
    <row r="165" spans="5:5" ht="15.75" customHeight="1">
      <c r="E165" s="1"/>
    </row>
    <row r="166" spans="5:5" ht="15.75" customHeight="1">
      <c r="E166" s="1"/>
    </row>
    <row r="167" spans="5:5" ht="15.75" customHeight="1">
      <c r="E167" s="1"/>
    </row>
    <row r="168" spans="5:5" ht="15.75" customHeight="1">
      <c r="E168" s="1"/>
    </row>
    <row r="169" spans="5:5" ht="15.75" customHeight="1">
      <c r="E169" s="1"/>
    </row>
    <row r="170" spans="5:5" ht="15.75" customHeight="1">
      <c r="E170" s="1"/>
    </row>
    <row r="171" spans="5:5" ht="15.75" customHeight="1">
      <c r="E171" s="1"/>
    </row>
    <row r="172" spans="5:5" ht="15.75" customHeight="1">
      <c r="E172" s="1"/>
    </row>
    <row r="173" spans="5:5" ht="15.75" customHeight="1">
      <c r="E173" s="1"/>
    </row>
    <row r="174" spans="5:5" ht="15.75" customHeight="1">
      <c r="E174" s="1"/>
    </row>
    <row r="175" spans="5:5" ht="15.75" customHeight="1">
      <c r="E175" s="1"/>
    </row>
    <row r="176" spans="5:5" ht="15.75" customHeight="1">
      <c r="E176" s="1"/>
    </row>
    <row r="177" spans="5:5" ht="15.75" customHeight="1">
      <c r="E177" s="1"/>
    </row>
    <row r="178" spans="5:5" ht="15.75" customHeight="1">
      <c r="E178" s="1"/>
    </row>
    <row r="179" spans="5:5" ht="15.75" customHeight="1">
      <c r="E179" s="1"/>
    </row>
    <row r="180" spans="5:5" ht="15.75" customHeight="1">
      <c r="E180" s="1"/>
    </row>
    <row r="181" spans="5:5" ht="15.75" customHeight="1">
      <c r="E181" s="1"/>
    </row>
    <row r="182" spans="5:5" ht="15.75" customHeight="1">
      <c r="E182" s="1"/>
    </row>
    <row r="183" spans="5:5" ht="15.75" customHeight="1">
      <c r="E183" s="1"/>
    </row>
    <row r="184" spans="5:5" ht="15.75" customHeight="1">
      <c r="E184" s="1"/>
    </row>
    <row r="185" spans="5:5" ht="15.75" customHeight="1">
      <c r="E185" s="1"/>
    </row>
    <row r="186" spans="5:5" ht="15.75" customHeight="1">
      <c r="E186" s="1"/>
    </row>
    <row r="187" spans="5:5" ht="15.75" customHeight="1">
      <c r="E187" s="1"/>
    </row>
    <row r="188" spans="5:5" ht="15.75" customHeight="1">
      <c r="E188" s="1"/>
    </row>
    <row r="189" spans="5:5" ht="15.75" customHeight="1">
      <c r="E189" s="1"/>
    </row>
    <row r="190" spans="5:5" ht="15.75" customHeight="1">
      <c r="E190" s="1"/>
    </row>
    <row r="191" spans="5:5" ht="15.75" customHeight="1">
      <c r="E191" s="1"/>
    </row>
    <row r="192" spans="5:5" ht="15.75" customHeight="1">
      <c r="E192" s="1"/>
    </row>
    <row r="193" spans="5:5" ht="15.75" customHeight="1">
      <c r="E193" s="1"/>
    </row>
    <row r="194" spans="5:5" ht="15.75" customHeight="1">
      <c r="E194" s="1"/>
    </row>
    <row r="195" spans="5:5" ht="15.75" customHeight="1">
      <c r="E195" s="1"/>
    </row>
    <row r="196" spans="5:5" ht="15.75" customHeight="1">
      <c r="E196" s="1"/>
    </row>
    <row r="197" spans="5:5" ht="15.75" customHeight="1">
      <c r="E197" s="1"/>
    </row>
    <row r="198" spans="5:5" ht="15.75" customHeight="1">
      <c r="E198" s="1"/>
    </row>
    <row r="199" spans="5:5" ht="15.75" customHeight="1">
      <c r="E199" s="1"/>
    </row>
    <row r="200" spans="5:5" ht="15.75" customHeight="1">
      <c r="E200" s="1"/>
    </row>
    <row r="201" spans="5:5" ht="15.75" customHeight="1">
      <c r="E201" s="1"/>
    </row>
    <row r="202" spans="5:5" ht="15.75" customHeight="1">
      <c r="E202" s="1"/>
    </row>
    <row r="203" spans="5:5" ht="15.75" customHeight="1">
      <c r="E203" s="1"/>
    </row>
    <row r="204" spans="5:5" ht="15.75" customHeight="1">
      <c r="E204" s="1"/>
    </row>
    <row r="205" spans="5:5" ht="15.75" customHeight="1">
      <c r="E205" s="1"/>
    </row>
    <row r="206" spans="5:5" ht="15.75" customHeight="1">
      <c r="E206" s="1"/>
    </row>
    <row r="207" spans="5:5" ht="15.75" customHeight="1">
      <c r="E207" s="1"/>
    </row>
    <row r="208" spans="5:5" ht="15.75" customHeight="1">
      <c r="E208" s="1"/>
    </row>
    <row r="209" spans="5:5" ht="15.75" customHeight="1">
      <c r="E209" s="1"/>
    </row>
    <row r="210" spans="5:5" ht="15.75" customHeight="1">
      <c r="E210" s="1"/>
    </row>
    <row r="211" spans="5:5" ht="15.75" customHeight="1">
      <c r="E211" s="1"/>
    </row>
    <row r="212" spans="5:5" ht="15.75" customHeight="1">
      <c r="E212" s="1"/>
    </row>
    <row r="213" spans="5:5" ht="15.75" customHeight="1">
      <c r="E213" s="1"/>
    </row>
    <row r="214" spans="5:5" ht="15.75" customHeight="1">
      <c r="E214" s="1"/>
    </row>
    <row r="215" spans="5:5" ht="15.75" customHeight="1">
      <c r="E215" s="1"/>
    </row>
    <row r="216" spans="5:5" ht="15.75" customHeight="1">
      <c r="E216" s="1"/>
    </row>
    <row r="217" spans="5:5" ht="15.75" customHeight="1">
      <c r="E217" s="1"/>
    </row>
    <row r="218" spans="5:5" ht="15.75" customHeight="1">
      <c r="E218" s="1"/>
    </row>
    <row r="219" spans="5:5" ht="15.75" customHeight="1">
      <c r="E219" s="1"/>
    </row>
    <row r="220" spans="5:5" ht="15.75" customHeight="1">
      <c r="E220" s="1"/>
    </row>
    <row r="221" spans="5:5" ht="15.75" customHeight="1">
      <c r="E221" s="1"/>
    </row>
    <row r="222" spans="5:5" ht="15.75" customHeight="1">
      <c r="E222" s="1"/>
    </row>
    <row r="223" spans="5:5" ht="15.75" customHeight="1">
      <c r="E223" s="1"/>
    </row>
    <row r="224" spans="5:5" ht="15.75" customHeight="1">
      <c r="E224" s="1"/>
    </row>
    <row r="225" spans="5:5" ht="15.75" customHeight="1">
      <c r="E225" s="1"/>
    </row>
    <row r="226" spans="5:5" ht="15.75" customHeight="1">
      <c r="E226" s="1"/>
    </row>
    <row r="227" spans="5:5" ht="15.75" customHeight="1">
      <c r="E227" s="1"/>
    </row>
    <row r="228" spans="5:5" ht="15.75" customHeight="1">
      <c r="E228" s="1"/>
    </row>
    <row r="229" spans="5:5" ht="15.75" customHeight="1">
      <c r="E229" s="1"/>
    </row>
    <row r="230" spans="5:5" ht="15.75" customHeight="1">
      <c r="E230" s="1"/>
    </row>
    <row r="231" spans="5:5" ht="15.75" customHeight="1">
      <c r="E231" s="1"/>
    </row>
    <row r="232" spans="5:5" ht="15.75" customHeight="1">
      <c r="E232" s="1"/>
    </row>
    <row r="233" spans="5:5" ht="15.75" customHeight="1">
      <c r="E233" s="1"/>
    </row>
    <row r="234" spans="5:5" ht="15.75" customHeight="1">
      <c r="E234" s="1"/>
    </row>
    <row r="235" spans="5:5" ht="15.75" customHeight="1">
      <c r="E235" s="1"/>
    </row>
    <row r="236" spans="5:5" ht="15.75" customHeight="1">
      <c r="E236" s="1"/>
    </row>
    <row r="237" spans="5:5" ht="15.75" customHeight="1">
      <c r="E237" s="1"/>
    </row>
    <row r="238" spans="5:5" ht="15.75" customHeight="1">
      <c r="E238" s="1"/>
    </row>
    <row r="239" spans="5:5" ht="15.75" customHeight="1">
      <c r="E239" s="1"/>
    </row>
    <row r="240" spans="5:5" ht="15.75" customHeight="1">
      <c r="E240" s="1"/>
    </row>
    <row r="241" spans="5:5" ht="15.75" customHeight="1">
      <c r="E241" s="1"/>
    </row>
    <row r="242" spans="5:5" ht="15.75" customHeight="1">
      <c r="E242" s="1"/>
    </row>
    <row r="243" spans="5:5" ht="15.75" customHeight="1">
      <c r="E243" s="1"/>
    </row>
    <row r="244" spans="5:5" ht="15.75" customHeight="1">
      <c r="E244" s="1"/>
    </row>
    <row r="245" spans="5:5" ht="15.75" customHeight="1">
      <c r="E245" s="1"/>
    </row>
    <row r="246" spans="5:5" ht="15.75" customHeight="1">
      <c r="E246" s="1"/>
    </row>
    <row r="247" spans="5:5" ht="15.75" customHeight="1">
      <c r="E247" s="1"/>
    </row>
    <row r="248" spans="5:5" ht="15.75" customHeight="1">
      <c r="E248" s="1"/>
    </row>
    <row r="249" spans="5:5" ht="15.75" customHeight="1">
      <c r="E249" s="1"/>
    </row>
    <row r="250" spans="5:5" ht="15.75" customHeight="1">
      <c r="E250" s="1"/>
    </row>
    <row r="251" spans="5:5" ht="15.75" customHeight="1">
      <c r="E251" s="1"/>
    </row>
    <row r="252" spans="5:5" ht="15.75" customHeight="1">
      <c r="E252" s="1"/>
    </row>
    <row r="253" spans="5:5" ht="15.75" customHeight="1">
      <c r="E253" s="1"/>
    </row>
    <row r="254" spans="5:5" ht="15.75" customHeight="1">
      <c r="E254" s="1"/>
    </row>
    <row r="255" spans="5:5" ht="15.75" customHeight="1">
      <c r="E255" s="1"/>
    </row>
    <row r="256" spans="5:5" ht="15.75" customHeight="1">
      <c r="E256" s="1"/>
    </row>
    <row r="257" spans="5:5" ht="15.75" customHeight="1">
      <c r="E257" s="1"/>
    </row>
    <row r="258" spans="5:5" ht="15.75" customHeight="1">
      <c r="E258" s="1"/>
    </row>
    <row r="259" spans="5:5" ht="15.75" customHeight="1">
      <c r="E259" s="1"/>
    </row>
    <row r="260" spans="5:5" ht="15.75" customHeight="1">
      <c r="E260" s="1"/>
    </row>
    <row r="261" spans="5:5" ht="15.75" customHeight="1">
      <c r="E261" s="1"/>
    </row>
    <row r="262" spans="5:5" ht="15.75" customHeight="1">
      <c r="E262" s="1"/>
    </row>
    <row r="263" spans="5:5" ht="15.75" customHeight="1">
      <c r="E263" s="1"/>
    </row>
    <row r="264" spans="5:5" ht="15.75" customHeight="1">
      <c r="E264" s="1"/>
    </row>
    <row r="265" spans="5:5" ht="15.75" customHeight="1">
      <c r="E265" s="1"/>
    </row>
    <row r="266" spans="5:5" ht="15.75" customHeight="1">
      <c r="E266" s="1"/>
    </row>
    <row r="267" spans="5:5" ht="15.75" customHeight="1">
      <c r="E267" s="1"/>
    </row>
    <row r="268" spans="5:5" ht="15.75" customHeight="1">
      <c r="E268" s="1"/>
    </row>
    <row r="269" spans="5:5" ht="15.75" customHeight="1">
      <c r="E269" s="1"/>
    </row>
    <row r="270" spans="5:5" ht="15.75" customHeight="1">
      <c r="E270" s="1"/>
    </row>
    <row r="271" spans="5:5" ht="15.75" customHeight="1">
      <c r="E271" s="1"/>
    </row>
    <row r="272" spans="5:5" ht="15.75" customHeight="1">
      <c r="E272" s="1"/>
    </row>
    <row r="273" spans="5:5" ht="15.75" customHeight="1">
      <c r="E273" s="1"/>
    </row>
    <row r="274" spans="5:5" ht="15.75" customHeight="1">
      <c r="E274" s="1"/>
    </row>
    <row r="275" spans="5:5" ht="15.75" customHeight="1">
      <c r="E275" s="1"/>
    </row>
    <row r="276" spans="5:5" ht="15.75" customHeight="1">
      <c r="E276" s="1"/>
    </row>
    <row r="277" spans="5:5" ht="15.75" customHeight="1">
      <c r="E277" s="1"/>
    </row>
    <row r="278" spans="5:5" ht="15.75" customHeight="1">
      <c r="E278" s="1"/>
    </row>
    <row r="279" spans="5:5" ht="15.75" customHeight="1">
      <c r="E279" s="1"/>
    </row>
    <row r="280" spans="5:5" ht="15.75" customHeight="1">
      <c r="E280" s="1"/>
    </row>
    <row r="281" spans="5:5" ht="15.75" customHeight="1">
      <c r="E281" s="1"/>
    </row>
    <row r="282" spans="5:5" ht="15.75" customHeight="1">
      <c r="E282" s="1"/>
    </row>
    <row r="283" spans="5:5" ht="15.75" customHeight="1">
      <c r="E283" s="1"/>
    </row>
    <row r="284" spans="5:5" ht="15.75" customHeight="1">
      <c r="E284" s="1"/>
    </row>
    <row r="285" spans="5:5" ht="15.75" customHeight="1">
      <c r="E285" s="1"/>
    </row>
    <row r="286" spans="5:5" ht="15.75" customHeight="1">
      <c r="E286" s="1"/>
    </row>
    <row r="287" spans="5:5" ht="15.75" customHeight="1">
      <c r="E287" s="1"/>
    </row>
    <row r="288" spans="5:5" ht="15.75" customHeight="1">
      <c r="E288" s="1"/>
    </row>
    <row r="289" spans="5:5" ht="15.75" customHeight="1">
      <c r="E289" s="1"/>
    </row>
    <row r="290" spans="5:5" ht="15.75" customHeight="1">
      <c r="E290" s="1"/>
    </row>
    <row r="291" spans="5:5" ht="15.75" customHeight="1">
      <c r="E291" s="1"/>
    </row>
    <row r="292" spans="5:5" ht="15.75" customHeight="1">
      <c r="E292" s="1"/>
    </row>
    <row r="293" spans="5:5" ht="15.75" customHeight="1">
      <c r="E293" s="1"/>
    </row>
    <row r="294" spans="5:5" ht="15.75" customHeight="1">
      <c r="E294" s="1"/>
    </row>
    <row r="295" spans="5:5" ht="15.75" customHeight="1">
      <c r="E295" s="1"/>
    </row>
    <row r="296" spans="5:5" ht="15.75" customHeight="1">
      <c r="E296" s="1"/>
    </row>
    <row r="297" spans="5:5" ht="15.75" customHeight="1">
      <c r="E297" s="1"/>
    </row>
    <row r="298" spans="5:5" ht="15.75" customHeight="1">
      <c r="E298" s="1"/>
    </row>
    <row r="299" spans="5:5" ht="15.75" customHeight="1">
      <c r="E299" s="1"/>
    </row>
    <row r="300" spans="5:5" ht="15.75" customHeight="1">
      <c r="E300" s="1"/>
    </row>
    <row r="301" spans="5:5" ht="15.75" customHeight="1">
      <c r="E301" s="1"/>
    </row>
    <row r="302" spans="5:5" ht="15.75" customHeight="1">
      <c r="E302" s="1"/>
    </row>
    <row r="303" spans="5:5" ht="15.75" customHeight="1">
      <c r="E303" s="1"/>
    </row>
    <row r="304" spans="5:5" ht="15.75" customHeight="1">
      <c r="E304" s="1"/>
    </row>
    <row r="305" spans="5:5" ht="15.75" customHeight="1">
      <c r="E305" s="1"/>
    </row>
    <row r="306" spans="5:5" ht="15.75" customHeight="1">
      <c r="E306" s="1"/>
    </row>
    <row r="307" spans="5:5" ht="15.75" customHeight="1">
      <c r="E307" s="1"/>
    </row>
    <row r="308" spans="5:5" ht="15.75" customHeight="1">
      <c r="E308" s="1"/>
    </row>
    <row r="309" spans="5:5" ht="15.75" customHeight="1">
      <c r="E309" s="1"/>
    </row>
    <row r="310" spans="5:5" ht="15.75" customHeight="1">
      <c r="E310" s="1"/>
    </row>
    <row r="311" spans="5:5" ht="15.75" customHeight="1">
      <c r="E311" s="1"/>
    </row>
    <row r="312" spans="5:5" ht="15.75" customHeight="1">
      <c r="E312" s="1"/>
    </row>
    <row r="313" spans="5:5" ht="15.75" customHeight="1">
      <c r="E313" s="1"/>
    </row>
    <row r="314" spans="5:5" ht="15.75" customHeight="1">
      <c r="E314" s="1"/>
    </row>
    <row r="315" spans="5:5" ht="15.75" customHeight="1">
      <c r="E315" s="1"/>
    </row>
    <row r="316" spans="5:5" ht="15.75" customHeight="1">
      <c r="E316" s="1"/>
    </row>
    <row r="317" spans="5:5" ht="15.75" customHeight="1">
      <c r="E317" s="1"/>
    </row>
    <row r="318" spans="5:5" ht="15.75" customHeight="1">
      <c r="E318" s="1"/>
    </row>
    <row r="319" spans="5:5" ht="15.75" customHeight="1">
      <c r="E319" s="1"/>
    </row>
    <row r="320" spans="5:5" ht="15.75" customHeight="1">
      <c r="E320" s="1"/>
    </row>
    <row r="321" spans="5:5" ht="15.75" customHeight="1">
      <c r="E321" s="1"/>
    </row>
    <row r="322" spans="5:5" ht="15.75" customHeight="1">
      <c r="E322" s="1"/>
    </row>
    <row r="323" spans="5:5" ht="15.75" customHeight="1">
      <c r="E323" s="1"/>
    </row>
    <row r="324" spans="5:5" ht="15.75" customHeight="1">
      <c r="E324" s="1"/>
    </row>
    <row r="325" spans="5:5" ht="15.75" customHeight="1">
      <c r="E325" s="1"/>
    </row>
    <row r="326" spans="5:5" ht="15.75" customHeight="1">
      <c r="E326" s="1"/>
    </row>
    <row r="327" spans="5:5" ht="15.75" customHeight="1">
      <c r="E327" s="1"/>
    </row>
    <row r="328" spans="5:5" ht="15.75" customHeight="1">
      <c r="E328" s="1"/>
    </row>
    <row r="329" spans="5:5" ht="15.75" customHeight="1">
      <c r="E329" s="1"/>
    </row>
    <row r="330" spans="5:5" ht="15.75" customHeight="1">
      <c r="E330" s="1"/>
    </row>
    <row r="331" spans="5:5" ht="15.75" customHeight="1">
      <c r="E331" s="1"/>
    </row>
    <row r="332" spans="5:5" ht="15.75" customHeight="1">
      <c r="E332" s="1"/>
    </row>
    <row r="333" spans="5:5" ht="15.75" customHeight="1">
      <c r="E333" s="1"/>
    </row>
    <row r="334" spans="5:5" ht="15.75" customHeight="1">
      <c r="E334" s="1"/>
    </row>
    <row r="335" spans="5:5" ht="15.75" customHeight="1">
      <c r="E335" s="1"/>
    </row>
    <row r="336" spans="5:5" ht="15.75" customHeight="1">
      <c r="E336" s="1"/>
    </row>
    <row r="337" spans="5:5" ht="15.75" customHeight="1">
      <c r="E337" s="1"/>
    </row>
    <row r="338" spans="5:5" ht="15.75" customHeight="1">
      <c r="E338" s="1"/>
    </row>
    <row r="339" spans="5:5" ht="15.75" customHeight="1">
      <c r="E339" s="1"/>
    </row>
    <row r="340" spans="5:5" ht="15.75" customHeight="1">
      <c r="E340" s="1"/>
    </row>
    <row r="341" spans="5:5" ht="15.75" customHeight="1">
      <c r="E341" s="1"/>
    </row>
    <row r="342" spans="5:5" ht="15.75" customHeight="1">
      <c r="E342" s="1"/>
    </row>
    <row r="343" spans="5:5" ht="15.75" customHeight="1">
      <c r="E343" s="1"/>
    </row>
    <row r="344" spans="5:5" ht="15.75" customHeight="1">
      <c r="E344" s="1"/>
    </row>
    <row r="345" spans="5:5" ht="15.75" customHeight="1">
      <c r="E345" s="1"/>
    </row>
    <row r="346" spans="5:5" ht="15.75" customHeight="1">
      <c r="E346" s="1"/>
    </row>
    <row r="347" spans="5:5" ht="15.75" customHeight="1">
      <c r="E347" s="1"/>
    </row>
    <row r="348" spans="5:5" ht="15.75" customHeight="1">
      <c r="E348" s="1"/>
    </row>
    <row r="349" spans="5:5" ht="15.75" customHeight="1">
      <c r="E349" s="1"/>
    </row>
    <row r="350" spans="5:5" ht="15.75" customHeight="1">
      <c r="E350" s="1"/>
    </row>
    <row r="351" spans="5:5" ht="15.75" customHeight="1">
      <c r="E351" s="1"/>
    </row>
    <row r="352" spans="5:5" ht="15.75" customHeight="1">
      <c r="E352" s="1"/>
    </row>
    <row r="353" spans="5:5" ht="15.75" customHeight="1">
      <c r="E353" s="1"/>
    </row>
    <row r="354" spans="5:5" ht="15.75" customHeight="1">
      <c r="E354" s="1"/>
    </row>
    <row r="355" spans="5:5" ht="15.75" customHeight="1">
      <c r="E355" s="1"/>
    </row>
    <row r="356" spans="5:5" ht="15.75" customHeight="1">
      <c r="E356" s="1"/>
    </row>
    <row r="357" spans="5:5" ht="15.75" customHeight="1">
      <c r="E357" s="1"/>
    </row>
    <row r="358" spans="5:5" ht="15.75" customHeight="1">
      <c r="E358" s="1"/>
    </row>
    <row r="359" spans="5:5" ht="15.75" customHeight="1">
      <c r="E359" s="1"/>
    </row>
    <row r="360" spans="5:5" ht="15.75" customHeight="1">
      <c r="E360" s="1"/>
    </row>
    <row r="361" spans="5:5" ht="15.75" customHeight="1">
      <c r="E361" s="1"/>
    </row>
    <row r="362" spans="5:5" ht="15.75" customHeight="1">
      <c r="E362" s="1"/>
    </row>
    <row r="363" spans="5:5" ht="15.75" customHeight="1">
      <c r="E363" s="1"/>
    </row>
    <row r="364" spans="5:5" ht="15.75" customHeight="1">
      <c r="E364" s="1"/>
    </row>
    <row r="365" spans="5:5" ht="15.75" customHeight="1">
      <c r="E365" s="1"/>
    </row>
    <row r="366" spans="5:5" ht="15.75" customHeight="1">
      <c r="E366" s="1"/>
    </row>
    <row r="367" spans="5:5" ht="15.75" customHeight="1">
      <c r="E367" s="1"/>
    </row>
    <row r="368" spans="5:5" ht="15.75" customHeight="1">
      <c r="E368" s="1"/>
    </row>
    <row r="369" spans="5:5" ht="15.75" customHeight="1">
      <c r="E369" s="1"/>
    </row>
    <row r="370" spans="5:5" ht="15.75" customHeight="1">
      <c r="E370" s="1"/>
    </row>
    <row r="371" spans="5:5" ht="15.75" customHeight="1">
      <c r="E371" s="1"/>
    </row>
    <row r="372" spans="5:5" ht="15.75" customHeight="1">
      <c r="E372" s="1"/>
    </row>
    <row r="373" spans="5:5" ht="15.75" customHeight="1">
      <c r="E373" s="1"/>
    </row>
    <row r="374" spans="5:5" ht="15.75" customHeight="1">
      <c r="E374" s="1"/>
    </row>
    <row r="375" spans="5:5" ht="15.75" customHeight="1">
      <c r="E375" s="1"/>
    </row>
    <row r="376" spans="5:5" ht="15.75" customHeight="1">
      <c r="E376" s="1"/>
    </row>
    <row r="377" spans="5:5" ht="15.75" customHeight="1">
      <c r="E377" s="1"/>
    </row>
    <row r="378" spans="5:5" ht="15.75" customHeight="1">
      <c r="E378" s="1"/>
    </row>
    <row r="379" spans="5:5" ht="15.75" customHeight="1">
      <c r="E379" s="1"/>
    </row>
    <row r="380" spans="5:5" ht="15.75" customHeight="1">
      <c r="E380" s="1"/>
    </row>
    <row r="381" spans="5:5" ht="15.75" customHeight="1">
      <c r="E381" s="1"/>
    </row>
    <row r="382" spans="5:5" ht="15.75" customHeight="1">
      <c r="E382" s="1"/>
    </row>
    <row r="383" spans="5:5" ht="15.75" customHeight="1">
      <c r="E383" s="1"/>
    </row>
    <row r="384" spans="5:5" ht="15.75" customHeight="1">
      <c r="E384" s="1"/>
    </row>
    <row r="385" spans="5:5" ht="15.75" customHeight="1">
      <c r="E385" s="1"/>
    </row>
    <row r="386" spans="5:5" ht="15.75" customHeight="1">
      <c r="E386" s="1"/>
    </row>
    <row r="387" spans="5:5" ht="15.75" customHeight="1">
      <c r="E387" s="1"/>
    </row>
    <row r="388" spans="5:5" ht="15.75" customHeight="1">
      <c r="E388" s="1"/>
    </row>
    <row r="389" spans="5:5" ht="15.75" customHeight="1">
      <c r="E389" s="1"/>
    </row>
    <row r="390" spans="5:5" ht="15.75" customHeight="1">
      <c r="E390" s="1"/>
    </row>
    <row r="391" spans="5:5" ht="15.75" customHeight="1">
      <c r="E391" s="1"/>
    </row>
    <row r="392" spans="5:5" ht="15.75" customHeight="1">
      <c r="E392" s="1"/>
    </row>
    <row r="393" spans="5:5" ht="15.75" customHeight="1">
      <c r="E393" s="1"/>
    </row>
    <row r="394" spans="5:5" ht="15.75" customHeight="1">
      <c r="E394" s="1"/>
    </row>
    <row r="395" spans="5:5" ht="15.75" customHeight="1">
      <c r="E395" s="1"/>
    </row>
    <row r="396" spans="5:5" ht="15.75" customHeight="1">
      <c r="E396" s="1"/>
    </row>
    <row r="397" spans="5:5" ht="15.75" customHeight="1">
      <c r="E397" s="1"/>
    </row>
    <row r="398" spans="5:5" ht="15.75" customHeight="1">
      <c r="E398" s="1"/>
    </row>
    <row r="399" spans="5:5" ht="15.75" customHeight="1">
      <c r="E399" s="1"/>
    </row>
    <row r="400" spans="5:5" ht="15.75" customHeight="1">
      <c r="E400" s="1"/>
    </row>
    <row r="401" spans="5:5" ht="15.75" customHeight="1">
      <c r="E401" s="1"/>
    </row>
    <row r="402" spans="5:5" ht="15.75" customHeight="1">
      <c r="E402" s="1"/>
    </row>
    <row r="403" spans="5:5" ht="15.75" customHeight="1">
      <c r="E403" s="1"/>
    </row>
    <row r="404" spans="5:5" ht="15.75" customHeight="1">
      <c r="E404" s="1"/>
    </row>
    <row r="405" spans="5:5" ht="15.75" customHeight="1">
      <c r="E405" s="1"/>
    </row>
    <row r="406" spans="5:5" ht="15.75" customHeight="1">
      <c r="E406" s="1"/>
    </row>
    <row r="407" spans="5:5" ht="15.75" customHeight="1">
      <c r="E407" s="1"/>
    </row>
    <row r="408" spans="5:5" ht="15.75" customHeight="1">
      <c r="E408" s="1"/>
    </row>
    <row r="409" spans="5:5" ht="15.75" customHeight="1">
      <c r="E409" s="1"/>
    </row>
    <row r="410" spans="5:5" ht="15.75" customHeight="1">
      <c r="E410" s="1"/>
    </row>
    <row r="411" spans="5:5" ht="15.75" customHeight="1">
      <c r="E411" s="1"/>
    </row>
    <row r="412" spans="5:5" ht="15.75" customHeight="1">
      <c r="E412" s="1"/>
    </row>
    <row r="413" spans="5:5" ht="15.75" customHeight="1">
      <c r="E413" s="1"/>
    </row>
    <row r="414" spans="5:5" ht="15.75" customHeight="1">
      <c r="E414" s="1"/>
    </row>
    <row r="415" spans="5:5" ht="15.75" customHeight="1">
      <c r="E415" s="1"/>
    </row>
    <row r="416" spans="5:5" ht="15.75" customHeight="1">
      <c r="E416" s="1"/>
    </row>
    <row r="417" spans="5:5" ht="15.75" customHeight="1">
      <c r="E417" s="1"/>
    </row>
    <row r="418" spans="5:5" ht="15.75" customHeight="1">
      <c r="E418" s="1"/>
    </row>
    <row r="419" spans="5:5" ht="15.75" customHeight="1">
      <c r="E419" s="1"/>
    </row>
    <row r="420" spans="5:5" ht="15.75" customHeight="1">
      <c r="E420" s="1"/>
    </row>
    <row r="421" spans="5:5" ht="15.75" customHeight="1">
      <c r="E421" s="1"/>
    </row>
    <row r="422" spans="5:5" ht="15.75" customHeight="1">
      <c r="E422" s="1"/>
    </row>
    <row r="423" spans="5:5" ht="15.75" customHeight="1">
      <c r="E423" s="1"/>
    </row>
    <row r="424" spans="5:5" ht="15.75" customHeight="1">
      <c r="E424" s="1"/>
    </row>
    <row r="425" spans="5:5" ht="15.75" customHeight="1">
      <c r="E425" s="1"/>
    </row>
    <row r="426" spans="5:5" ht="15.75" customHeight="1">
      <c r="E426" s="1"/>
    </row>
    <row r="427" spans="5:5" ht="15.75" customHeight="1">
      <c r="E427" s="1"/>
    </row>
    <row r="428" spans="5:5" ht="15.75" customHeight="1">
      <c r="E428" s="1"/>
    </row>
    <row r="429" spans="5:5" ht="15.75" customHeight="1">
      <c r="E429" s="1"/>
    </row>
    <row r="430" spans="5:5" ht="15.75" customHeight="1">
      <c r="E430" s="1"/>
    </row>
    <row r="431" spans="5:5" ht="15.75" customHeight="1">
      <c r="E431" s="1"/>
    </row>
    <row r="432" spans="5:5" ht="15.75" customHeight="1">
      <c r="E432" s="1"/>
    </row>
    <row r="433" spans="5:5" ht="15.75" customHeight="1">
      <c r="E433" s="1"/>
    </row>
    <row r="434" spans="5:5" ht="15.75" customHeight="1">
      <c r="E434" s="1"/>
    </row>
    <row r="435" spans="5:5" ht="15.75" customHeight="1">
      <c r="E435" s="1"/>
    </row>
    <row r="436" spans="5:5" ht="15.75" customHeight="1">
      <c r="E436" s="1"/>
    </row>
    <row r="437" spans="5:5" ht="15.75" customHeight="1">
      <c r="E437" s="1"/>
    </row>
    <row r="438" spans="5:5" ht="15.75" customHeight="1">
      <c r="E438" s="1"/>
    </row>
    <row r="439" spans="5:5" ht="15.75" customHeight="1">
      <c r="E439" s="1"/>
    </row>
    <row r="440" spans="5:5" ht="15.75" customHeight="1">
      <c r="E440" s="1"/>
    </row>
    <row r="441" spans="5:5" ht="15.75" customHeight="1">
      <c r="E441" s="1"/>
    </row>
    <row r="442" spans="5:5" ht="15.75" customHeight="1">
      <c r="E442" s="1"/>
    </row>
    <row r="443" spans="5:5" ht="15.75" customHeight="1">
      <c r="E443" s="1"/>
    </row>
    <row r="444" spans="5:5" ht="15.75" customHeight="1">
      <c r="E444" s="1"/>
    </row>
    <row r="445" spans="5:5" ht="15.75" customHeight="1">
      <c r="E445" s="1"/>
    </row>
    <row r="446" spans="5:5" ht="15.75" customHeight="1">
      <c r="E446" s="1"/>
    </row>
    <row r="447" spans="5:5" ht="15.75" customHeight="1">
      <c r="E447" s="1"/>
    </row>
    <row r="448" spans="5:5" ht="15.75" customHeight="1">
      <c r="E448" s="1"/>
    </row>
    <row r="449" spans="5:5" ht="15.75" customHeight="1">
      <c r="E449" s="1"/>
    </row>
    <row r="450" spans="5:5" ht="15.75" customHeight="1">
      <c r="E450" s="1"/>
    </row>
    <row r="451" spans="5:5" ht="15.75" customHeight="1">
      <c r="E451" s="1"/>
    </row>
    <row r="452" spans="5:5" ht="15.75" customHeight="1">
      <c r="E452" s="1"/>
    </row>
    <row r="453" spans="5:5" ht="15.75" customHeight="1">
      <c r="E453" s="1"/>
    </row>
    <row r="454" spans="5:5" ht="15.75" customHeight="1">
      <c r="E454" s="1"/>
    </row>
    <row r="455" spans="5:5" ht="15.75" customHeight="1">
      <c r="E455" s="1"/>
    </row>
    <row r="456" spans="5:5" ht="15.75" customHeight="1">
      <c r="E456" s="1"/>
    </row>
    <row r="457" spans="5:5" ht="15.75" customHeight="1">
      <c r="E457" s="1"/>
    </row>
    <row r="458" spans="5:5" ht="15.75" customHeight="1">
      <c r="E458" s="1"/>
    </row>
    <row r="459" spans="5:5" ht="15.75" customHeight="1">
      <c r="E459" s="1"/>
    </row>
    <row r="460" spans="5:5" ht="15.75" customHeight="1">
      <c r="E460" s="1"/>
    </row>
    <row r="461" spans="5:5" ht="15.75" customHeight="1">
      <c r="E461" s="1"/>
    </row>
    <row r="462" spans="5:5" ht="15.75" customHeight="1">
      <c r="E462" s="1"/>
    </row>
    <row r="463" spans="5:5" ht="15.75" customHeight="1">
      <c r="E463" s="1"/>
    </row>
    <row r="464" spans="5:5" ht="15.75" customHeight="1">
      <c r="E464" s="1"/>
    </row>
    <row r="465" spans="5:5" ht="15.75" customHeight="1">
      <c r="E465" s="1"/>
    </row>
    <row r="466" spans="5:5" ht="15.75" customHeight="1">
      <c r="E466" s="1"/>
    </row>
    <row r="467" spans="5:5" ht="15.75" customHeight="1">
      <c r="E467" s="1"/>
    </row>
    <row r="468" spans="5:5" ht="15.75" customHeight="1">
      <c r="E468" s="1"/>
    </row>
    <row r="469" spans="5:5" ht="15.75" customHeight="1">
      <c r="E469" s="1"/>
    </row>
    <row r="470" spans="5:5" ht="15.75" customHeight="1">
      <c r="E470" s="1"/>
    </row>
    <row r="471" spans="5:5" ht="15.75" customHeight="1">
      <c r="E471" s="1"/>
    </row>
    <row r="472" spans="5:5" ht="15.75" customHeight="1">
      <c r="E472" s="1"/>
    </row>
    <row r="473" spans="5:5" ht="15.75" customHeight="1">
      <c r="E473" s="1"/>
    </row>
    <row r="474" spans="5:5" ht="15.75" customHeight="1">
      <c r="E474" s="1"/>
    </row>
    <row r="475" spans="5:5" ht="15.75" customHeight="1">
      <c r="E475" s="1"/>
    </row>
    <row r="476" spans="5:5" ht="15.75" customHeight="1">
      <c r="E476" s="1"/>
    </row>
    <row r="477" spans="5:5" ht="15.75" customHeight="1">
      <c r="E477" s="1"/>
    </row>
    <row r="478" spans="5:5" ht="15.75" customHeight="1">
      <c r="E478" s="1"/>
    </row>
    <row r="479" spans="5:5" ht="15.75" customHeight="1">
      <c r="E479" s="1"/>
    </row>
    <row r="480" spans="5:5" ht="15.75" customHeight="1">
      <c r="E480" s="1"/>
    </row>
    <row r="481" spans="5:5" ht="15.75" customHeight="1">
      <c r="E481" s="1"/>
    </row>
    <row r="482" spans="5:5" ht="15.75" customHeight="1">
      <c r="E482" s="1"/>
    </row>
    <row r="483" spans="5:5" ht="15.75" customHeight="1">
      <c r="E483" s="1"/>
    </row>
    <row r="484" spans="5:5" ht="15.75" customHeight="1">
      <c r="E484" s="1"/>
    </row>
    <row r="485" spans="5:5" ht="15.75" customHeight="1">
      <c r="E485" s="1"/>
    </row>
    <row r="486" spans="5:5" ht="15.75" customHeight="1">
      <c r="E486" s="1"/>
    </row>
    <row r="487" spans="5:5" ht="15.75" customHeight="1">
      <c r="E487" s="1"/>
    </row>
    <row r="488" spans="5:5" ht="15.75" customHeight="1">
      <c r="E488" s="1"/>
    </row>
    <row r="489" spans="5:5" ht="15.75" customHeight="1">
      <c r="E489" s="1"/>
    </row>
    <row r="490" spans="5:5" ht="15.75" customHeight="1">
      <c r="E490" s="1"/>
    </row>
    <row r="491" spans="5:5" ht="15.75" customHeight="1">
      <c r="E491" s="1"/>
    </row>
    <row r="492" spans="5:5" ht="15.75" customHeight="1">
      <c r="E492" s="1"/>
    </row>
    <row r="493" spans="5:5" ht="15.75" customHeight="1">
      <c r="E493" s="1"/>
    </row>
    <row r="494" spans="5:5" ht="15.75" customHeight="1">
      <c r="E494" s="1"/>
    </row>
    <row r="495" spans="5:5" ht="15.75" customHeight="1">
      <c r="E495" s="1"/>
    </row>
    <row r="496" spans="5:5" ht="15.75" customHeight="1">
      <c r="E496" s="1"/>
    </row>
    <row r="497" spans="5:5" ht="15.75" customHeight="1">
      <c r="E497" s="1"/>
    </row>
    <row r="498" spans="5:5" ht="15.75" customHeight="1">
      <c r="E498" s="1"/>
    </row>
    <row r="499" spans="5:5" ht="15.75" customHeight="1">
      <c r="E499" s="1"/>
    </row>
    <row r="500" spans="5:5" ht="15.75" customHeight="1">
      <c r="E500" s="1"/>
    </row>
    <row r="501" spans="5:5" ht="15.75" customHeight="1">
      <c r="E501" s="1"/>
    </row>
    <row r="502" spans="5:5" ht="15.75" customHeight="1">
      <c r="E502" s="1"/>
    </row>
    <row r="503" spans="5:5" ht="15.75" customHeight="1">
      <c r="E503" s="1"/>
    </row>
    <row r="504" spans="5:5" ht="15.75" customHeight="1">
      <c r="E504" s="1"/>
    </row>
    <row r="505" spans="5:5" ht="15.75" customHeight="1">
      <c r="E505" s="1"/>
    </row>
    <row r="506" spans="5:5" ht="15.75" customHeight="1">
      <c r="E506" s="1"/>
    </row>
    <row r="507" spans="5:5" ht="15.75" customHeight="1">
      <c r="E507" s="1"/>
    </row>
    <row r="508" spans="5:5" ht="15.75" customHeight="1">
      <c r="E508" s="1"/>
    </row>
    <row r="509" spans="5:5" ht="15.75" customHeight="1">
      <c r="E509" s="1"/>
    </row>
    <row r="510" spans="5:5" ht="15.75" customHeight="1">
      <c r="E510" s="1"/>
    </row>
    <row r="511" spans="5:5" ht="15.75" customHeight="1">
      <c r="E511" s="1"/>
    </row>
    <row r="512" spans="5:5" ht="15.75" customHeight="1">
      <c r="E512" s="1"/>
    </row>
    <row r="513" spans="5:5" ht="15.75" customHeight="1">
      <c r="E513" s="1"/>
    </row>
    <row r="514" spans="5:5" ht="15.75" customHeight="1">
      <c r="E514" s="1"/>
    </row>
    <row r="515" spans="5:5" ht="15.75" customHeight="1">
      <c r="E515" s="1"/>
    </row>
    <row r="516" spans="5:5" ht="15.75" customHeight="1">
      <c r="E516" s="1"/>
    </row>
    <row r="517" spans="5:5" ht="15.75" customHeight="1">
      <c r="E517" s="1"/>
    </row>
    <row r="518" spans="5:5" ht="15.75" customHeight="1">
      <c r="E518" s="1"/>
    </row>
    <row r="519" spans="5:5" ht="15.75" customHeight="1">
      <c r="E519" s="1"/>
    </row>
    <row r="520" spans="5:5" ht="15.75" customHeight="1">
      <c r="E520" s="1"/>
    </row>
    <row r="521" spans="5:5" ht="15.75" customHeight="1">
      <c r="E521" s="1"/>
    </row>
    <row r="522" spans="5:5" ht="15.75" customHeight="1">
      <c r="E522" s="1"/>
    </row>
    <row r="523" spans="5:5" ht="15.75" customHeight="1">
      <c r="E523" s="1"/>
    </row>
    <row r="524" spans="5:5" ht="15.75" customHeight="1">
      <c r="E524" s="1"/>
    </row>
    <row r="525" spans="5:5" ht="15.75" customHeight="1">
      <c r="E525" s="1"/>
    </row>
    <row r="526" spans="5:5" ht="15.75" customHeight="1">
      <c r="E526" s="1"/>
    </row>
    <row r="527" spans="5:5" ht="15.75" customHeight="1">
      <c r="E527" s="1"/>
    </row>
    <row r="528" spans="5:5" ht="15.75" customHeight="1">
      <c r="E528" s="1"/>
    </row>
    <row r="529" spans="5:5" ht="15.75" customHeight="1">
      <c r="E529" s="1"/>
    </row>
    <row r="530" spans="5:5" ht="15.75" customHeight="1">
      <c r="E530" s="1"/>
    </row>
    <row r="531" spans="5:5" ht="15.75" customHeight="1">
      <c r="E531" s="1"/>
    </row>
    <row r="532" spans="5:5" ht="15.75" customHeight="1">
      <c r="E532" s="1"/>
    </row>
    <row r="533" spans="5:5" ht="15.75" customHeight="1">
      <c r="E533" s="1"/>
    </row>
    <row r="534" spans="5:5" ht="15.75" customHeight="1">
      <c r="E534" s="1"/>
    </row>
    <row r="535" spans="5:5" ht="15.75" customHeight="1">
      <c r="E535" s="1"/>
    </row>
    <row r="536" spans="5:5" ht="15.75" customHeight="1">
      <c r="E536" s="1"/>
    </row>
    <row r="537" spans="5:5" ht="15.75" customHeight="1">
      <c r="E537" s="1"/>
    </row>
    <row r="538" spans="5:5" ht="15.75" customHeight="1">
      <c r="E538" s="1"/>
    </row>
    <row r="539" spans="5:5" ht="15.75" customHeight="1">
      <c r="E539" s="1"/>
    </row>
    <row r="540" spans="5:5" ht="15.75" customHeight="1">
      <c r="E540" s="1"/>
    </row>
    <row r="541" spans="5:5" ht="15.75" customHeight="1">
      <c r="E541" s="1"/>
    </row>
    <row r="542" spans="5:5" ht="15.75" customHeight="1">
      <c r="E542" s="1"/>
    </row>
    <row r="543" spans="5:5" ht="15.75" customHeight="1">
      <c r="E543" s="1"/>
    </row>
    <row r="544" spans="5:5" ht="15.75" customHeight="1">
      <c r="E544" s="1"/>
    </row>
    <row r="545" spans="5:5" ht="15.75" customHeight="1">
      <c r="E545" s="1"/>
    </row>
    <row r="546" spans="5:5" ht="15.75" customHeight="1">
      <c r="E546" s="1"/>
    </row>
    <row r="547" spans="5:5" ht="15.75" customHeight="1">
      <c r="E547" s="1"/>
    </row>
    <row r="548" spans="5:5" ht="15.75" customHeight="1">
      <c r="E548" s="1"/>
    </row>
    <row r="549" spans="5:5" ht="15.75" customHeight="1">
      <c r="E549" s="1"/>
    </row>
    <row r="550" spans="5:5" ht="15.75" customHeight="1">
      <c r="E550" s="1"/>
    </row>
    <row r="551" spans="5:5" ht="15.75" customHeight="1">
      <c r="E551" s="1"/>
    </row>
    <row r="552" spans="5:5" ht="15.75" customHeight="1">
      <c r="E552" s="1"/>
    </row>
    <row r="553" spans="5:5" ht="15.75" customHeight="1">
      <c r="E553" s="1"/>
    </row>
    <row r="554" spans="5:5" ht="15.75" customHeight="1">
      <c r="E554" s="1"/>
    </row>
    <row r="555" spans="5:5" ht="15.75" customHeight="1">
      <c r="E555" s="1"/>
    </row>
    <row r="556" spans="5:5" ht="15.75" customHeight="1">
      <c r="E556" s="1"/>
    </row>
    <row r="557" spans="5:5" ht="15.75" customHeight="1">
      <c r="E557" s="1"/>
    </row>
    <row r="558" spans="5:5" ht="15.75" customHeight="1">
      <c r="E558" s="1"/>
    </row>
    <row r="559" spans="5:5" ht="15.75" customHeight="1">
      <c r="E559" s="1"/>
    </row>
    <row r="560" spans="5:5" ht="15.75" customHeight="1">
      <c r="E560" s="1"/>
    </row>
    <row r="561" spans="5:5" ht="15.75" customHeight="1">
      <c r="E561" s="1"/>
    </row>
    <row r="562" spans="5:5" ht="15.75" customHeight="1">
      <c r="E562" s="1"/>
    </row>
    <row r="563" spans="5:5" ht="15.75" customHeight="1">
      <c r="E563" s="1"/>
    </row>
    <row r="564" spans="5:5" ht="15.75" customHeight="1">
      <c r="E564" s="1"/>
    </row>
    <row r="565" spans="5:5" ht="15.75" customHeight="1">
      <c r="E565" s="1"/>
    </row>
    <row r="566" spans="5:5" ht="15.75" customHeight="1">
      <c r="E566" s="1"/>
    </row>
    <row r="567" spans="5:5" ht="15.75" customHeight="1">
      <c r="E567" s="1"/>
    </row>
    <row r="568" spans="5:5" ht="15.75" customHeight="1">
      <c r="E568" s="1"/>
    </row>
    <row r="569" spans="5:5" ht="15.75" customHeight="1">
      <c r="E569" s="1"/>
    </row>
    <row r="570" spans="5:5" ht="15.75" customHeight="1">
      <c r="E570" s="1"/>
    </row>
    <row r="571" spans="5:5" ht="15.75" customHeight="1">
      <c r="E571" s="1"/>
    </row>
    <row r="572" spans="5:5" ht="15.75" customHeight="1">
      <c r="E572" s="1"/>
    </row>
    <row r="573" spans="5:5" ht="15.75" customHeight="1">
      <c r="E573" s="1"/>
    </row>
    <row r="574" spans="5:5" ht="15.75" customHeight="1">
      <c r="E574" s="1"/>
    </row>
    <row r="575" spans="5:5" ht="15.75" customHeight="1">
      <c r="E575" s="1"/>
    </row>
    <row r="576" spans="5:5" ht="15.75" customHeight="1">
      <c r="E576" s="1"/>
    </row>
    <row r="577" spans="5:5" ht="15.75" customHeight="1">
      <c r="E577" s="1"/>
    </row>
    <row r="578" spans="5:5" ht="15.75" customHeight="1">
      <c r="E578" s="1"/>
    </row>
    <row r="579" spans="5:5" ht="15.75" customHeight="1">
      <c r="E579" s="1"/>
    </row>
    <row r="580" spans="5:5" ht="15.75" customHeight="1">
      <c r="E580" s="1"/>
    </row>
    <row r="581" spans="5:5" ht="15.75" customHeight="1">
      <c r="E581" s="1"/>
    </row>
    <row r="582" spans="5:5" ht="15.75" customHeight="1">
      <c r="E582" s="1"/>
    </row>
    <row r="583" spans="5:5" ht="15.75" customHeight="1">
      <c r="E583" s="1"/>
    </row>
    <row r="584" spans="5:5" ht="15.75" customHeight="1">
      <c r="E584" s="1"/>
    </row>
    <row r="585" spans="5:5" ht="15.75" customHeight="1">
      <c r="E585" s="1"/>
    </row>
    <row r="586" spans="5:5" ht="15.75" customHeight="1">
      <c r="E586" s="1"/>
    </row>
    <row r="587" spans="5:5" ht="15.75" customHeight="1">
      <c r="E587" s="1"/>
    </row>
    <row r="588" spans="5:5" ht="15.75" customHeight="1">
      <c r="E588" s="1"/>
    </row>
    <row r="589" spans="5:5" ht="15.75" customHeight="1">
      <c r="E589" s="1"/>
    </row>
    <row r="590" spans="5:5" ht="15.75" customHeight="1">
      <c r="E590" s="1"/>
    </row>
    <row r="591" spans="5:5" ht="15.75" customHeight="1">
      <c r="E591" s="1"/>
    </row>
    <row r="592" spans="5:5" ht="15.75" customHeight="1">
      <c r="E592" s="1"/>
    </row>
    <row r="593" spans="5:5" ht="15.75" customHeight="1">
      <c r="E593" s="1"/>
    </row>
    <row r="594" spans="5:5" ht="15.75" customHeight="1">
      <c r="E594" s="1"/>
    </row>
    <row r="595" spans="5:5" ht="15.75" customHeight="1">
      <c r="E595" s="1"/>
    </row>
    <row r="596" spans="5:5" ht="15.75" customHeight="1">
      <c r="E596" s="1"/>
    </row>
    <row r="597" spans="5:5" ht="15.75" customHeight="1">
      <c r="E597" s="1"/>
    </row>
    <row r="598" spans="5:5" ht="15.75" customHeight="1">
      <c r="E598" s="1"/>
    </row>
    <row r="599" spans="5:5" ht="15.75" customHeight="1">
      <c r="E599" s="1"/>
    </row>
    <row r="600" spans="5:5" ht="15.75" customHeight="1">
      <c r="E600" s="1"/>
    </row>
    <row r="601" spans="5:5" ht="15.75" customHeight="1">
      <c r="E601" s="1"/>
    </row>
    <row r="602" spans="5:5" ht="15.75" customHeight="1">
      <c r="E602" s="1"/>
    </row>
    <row r="603" spans="5:5" ht="15.75" customHeight="1">
      <c r="E603" s="1"/>
    </row>
    <row r="604" spans="5:5" ht="15.75" customHeight="1">
      <c r="E604" s="1"/>
    </row>
    <row r="605" spans="5:5" ht="15.75" customHeight="1">
      <c r="E605" s="1"/>
    </row>
    <row r="606" spans="5:5" ht="15.75" customHeight="1">
      <c r="E606" s="1"/>
    </row>
    <row r="607" spans="5:5" ht="15.75" customHeight="1">
      <c r="E607" s="1"/>
    </row>
    <row r="608" spans="5:5" ht="15.75" customHeight="1">
      <c r="E608" s="1"/>
    </row>
    <row r="609" spans="5:5" ht="15.75" customHeight="1">
      <c r="E609" s="1"/>
    </row>
    <row r="610" spans="5:5" ht="15.75" customHeight="1">
      <c r="E610" s="1"/>
    </row>
    <row r="611" spans="5:5" ht="15.75" customHeight="1">
      <c r="E611" s="1"/>
    </row>
    <row r="612" spans="5:5" ht="15.75" customHeight="1">
      <c r="E612" s="1"/>
    </row>
    <row r="613" spans="5:5" ht="15.75" customHeight="1">
      <c r="E613" s="1"/>
    </row>
    <row r="614" spans="5:5" ht="15.75" customHeight="1">
      <c r="E614" s="1"/>
    </row>
    <row r="615" spans="5:5" ht="15.75" customHeight="1">
      <c r="E615" s="1"/>
    </row>
    <row r="616" spans="5:5" ht="15.75" customHeight="1">
      <c r="E616" s="1"/>
    </row>
    <row r="617" spans="5:5" ht="15.75" customHeight="1">
      <c r="E617" s="1"/>
    </row>
    <row r="618" spans="5:5" ht="15.75" customHeight="1">
      <c r="E618" s="1"/>
    </row>
    <row r="619" spans="5:5" ht="15.75" customHeight="1">
      <c r="E619" s="1"/>
    </row>
    <row r="620" spans="5:5" ht="15.75" customHeight="1">
      <c r="E620" s="1"/>
    </row>
    <row r="621" spans="5:5" ht="15.75" customHeight="1">
      <c r="E621" s="1"/>
    </row>
    <row r="622" spans="5:5" ht="15.75" customHeight="1">
      <c r="E622" s="1"/>
    </row>
    <row r="623" spans="5:5" ht="15.75" customHeight="1">
      <c r="E623" s="1"/>
    </row>
    <row r="624" spans="5:5" ht="15.75" customHeight="1">
      <c r="E624" s="1"/>
    </row>
    <row r="625" spans="5:5" ht="15.75" customHeight="1">
      <c r="E625" s="1"/>
    </row>
    <row r="626" spans="5:5" ht="15.75" customHeight="1">
      <c r="E626" s="1"/>
    </row>
    <row r="627" spans="5:5" ht="15.75" customHeight="1">
      <c r="E627" s="1"/>
    </row>
    <row r="628" spans="5:5" ht="15.75" customHeight="1">
      <c r="E628" s="1"/>
    </row>
    <row r="629" spans="5:5" ht="15.75" customHeight="1">
      <c r="E629" s="1"/>
    </row>
    <row r="630" spans="5:5" ht="15.75" customHeight="1">
      <c r="E630" s="1"/>
    </row>
    <row r="631" spans="5:5" ht="15.75" customHeight="1">
      <c r="E631" s="1"/>
    </row>
    <row r="632" spans="5:5" ht="15.75" customHeight="1">
      <c r="E632" s="1"/>
    </row>
    <row r="633" spans="5:5" ht="15.75" customHeight="1">
      <c r="E633" s="1"/>
    </row>
    <row r="634" spans="5:5" ht="15.75" customHeight="1">
      <c r="E634" s="1"/>
    </row>
    <row r="635" spans="5:5" ht="15.75" customHeight="1">
      <c r="E635" s="1"/>
    </row>
    <row r="636" spans="5:5" ht="15.75" customHeight="1">
      <c r="E636" s="1"/>
    </row>
    <row r="637" spans="5:5" ht="15.75" customHeight="1">
      <c r="E637" s="1"/>
    </row>
    <row r="638" spans="5:5" ht="15.75" customHeight="1">
      <c r="E638" s="1"/>
    </row>
    <row r="639" spans="5:5" ht="15.75" customHeight="1">
      <c r="E639" s="1"/>
    </row>
    <row r="640" spans="5:5" ht="15.75" customHeight="1">
      <c r="E640" s="1"/>
    </row>
    <row r="641" spans="5:5" ht="15.75" customHeight="1">
      <c r="E641" s="1"/>
    </row>
    <row r="642" spans="5:5" ht="15.75" customHeight="1">
      <c r="E642" s="1"/>
    </row>
    <row r="643" spans="5:5" ht="15.75" customHeight="1">
      <c r="E643" s="1"/>
    </row>
    <row r="644" spans="5:5" ht="15.75" customHeight="1">
      <c r="E644" s="1"/>
    </row>
    <row r="645" spans="5:5" ht="15.75" customHeight="1">
      <c r="E645" s="1"/>
    </row>
    <row r="646" spans="5:5" ht="15.75" customHeight="1">
      <c r="E646" s="1"/>
    </row>
    <row r="647" spans="5:5" ht="15.75" customHeight="1">
      <c r="E647" s="1"/>
    </row>
    <row r="648" spans="5:5" ht="15.75" customHeight="1">
      <c r="E648" s="1"/>
    </row>
    <row r="649" spans="5:5" ht="15.75" customHeight="1">
      <c r="E649" s="1"/>
    </row>
    <row r="650" spans="5:5" ht="15.75" customHeight="1">
      <c r="E650" s="1"/>
    </row>
    <row r="651" spans="5:5" ht="15.75" customHeight="1">
      <c r="E651" s="1"/>
    </row>
    <row r="652" spans="5:5" ht="15.75" customHeight="1">
      <c r="E652" s="1"/>
    </row>
    <row r="653" spans="5:5" ht="15.75" customHeight="1">
      <c r="E653" s="1"/>
    </row>
    <row r="654" spans="5:5" ht="15.75" customHeight="1">
      <c r="E654" s="1"/>
    </row>
    <row r="655" spans="5:5" ht="15.75" customHeight="1">
      <c r="E655" s="1"/>
    </row>
    <row r="656" spans="5:5" ht="15.75" customHeight="1">
      <c r="E656" s="1"/>
    </row>
    <row r="657" spans="5:5" ht="15.75" customHeight="1">
      <c r="E657" s="1"/>
    </row>
    <row r="658" spans="5:5" ht="15.75" customHeight="1">
      <c r="E658" s="1"/>
    </row>
    <row r="659" spans="5:5" ht="15.75" customHeight="1">
      <c r="E659" s="1"/>
    </row>
    <row r="660" spans="5:5" ht="15.75" customHeight="1">
      <c r="E660" s="1"/>
    </row>
    <row r="661" spans="5:5" ht="15.75" customHeight="1">
      <c r="E661" s="1"/>
    </row>
    <row r="662" spans="5:5" ht="15.75" customHeight="1">
      <c r="E662" s="1"/>
    </row>
    <row r="663" spans="5:5" ht="15.75" customHeight="1">
      <c r="E663" s="1"/>
    </row>
    <row r="664" spans="5:5" ht="15.75" customHeight="1">
      <c r="E664" s="1"/>
    </row>
    <row r="665" spans="5:5" ht="15.75" customHeight="1">
      <c r="E665" s="1"/>
    </row>
    <row r="666" spans="5:5" ht="15.75" customHeight="1">
      <c r="E666" s="1"/>
    </row>
    <row r="667" spans="5:5" ht="15.75" customHeight="1">
      <c r="E667" s="1"/>
    </row>
    <row r="668" spans="5:5" ht="15.75" customHeight="1">
      <c r="E668" s="1"/>
    </row>
    <row r="669" spans="5:5" ht="15.75" customHeight="1">
      <c r="E669" s="1"/>
    </row>
    <row r="670" spans="5:5" ht="15.75" customHeight="1">
      <c r="E670" s="1"/>
    </row>
    <row r="671" spans="5:5" ht="15.75" customHeight="1">
      <c r="E671" s="1"/>
    </row>
    <row r="672" spans="5:5" ht="15.75" customHeight="1">
      <c r="E672" s="1"/>
    </row>
    <row r="673" spans="5:5" ht="15.75" customHeight="1">
      <c r="E673" s="1"/>
    </row>
    <row r="674" spans="5:5" ht="15.75" customHeight="1">
      <c r="E674" s="1"/>
    </row>
    <row r="675" spans="5:5" ht="15.75" customHeight="1">
      <c r="E675" s="1"/>
    </row>
    <row r="676" spans="5:5" ht="15.75" customHeight="1">
      <c r="E676" s="1"/>
    </row>
    <row r="677" spans="5:5" ht="15.75" customHeight="1">
      <c r="E677" s="1"/>
    </row>
    <row r="678" spans="5:5" ht="15.75" customHeight="1">
      <c r="E678" s="1"/>
    </row>
    <row r="679" spans="5:5" ht="15.75" customHeight="1">
      <c r="E679" s="1"/>
    </row>
    <row r="680" spans="5:5" ht="15.75" customHeight="1">
      <c r="E680" s="1"/>
    </row>
    <row r="681" spans="5:5" ht="15.75" customHeight="1">
      <c r="E681" s="1"/>
    </row>
    <row r="682" spans="5:5" ht="15.75" customHeight="1">
      <c r="E682" s="1"/>
    </row>
    <row r="683" spans="5:5" ht="15.75" customHeight="1">
      <c r="E683" s="1"/>
    </row>
    <row r="684" spans="5:5" ht="15.75" customHeight="1">
      <c r="E684" s="1"/>
    </row>
    <row r="685" spans="5:5" ht="15.75" customHeight="1">
      <c r="E685" s="1"/>
    </row>
    <row r="686" spans="5:5" ht="15.75" customHeight="1">
      <c r="E686" s="1"/>
    </row>
    <row r="687" spans="5:5" ht="15.75" customHeight="1">
      <c r="E687" s="1"/>
    </row>
    <row r="688" spans="5:5" ht="15.75" customHeight="1">
      <c r="E688" s="1"/>
    </row>
    <row r="689" spans="5:5" ht="15.75" customHeight="1">
      <c r="E689" s="1"/>
    </row>
    <row r="690" spans="5:5" ht="15.75" customHeight="1">
      <c r="E690" s="1"/>
    </row>
    <row r="691" spans="5:5" ht="15.75" customHeight="1">
      <c r="E691" s="1"/>
    </row>
    <row r="692" spans="5:5" ht="15.75" customHeight="1">
      <c r="E692" s="1"/>
    </row>
    <row r="693" spans="5:5" ht="15.75" customHeight="1">
      <c r="E693" s="1"/>
    </row>
    <row r="694" spans="5:5" ht="15.75" customHeight="1">
      <c r="E694" s="1"/>
    </row>
    <row r="695" spans="5:5" ht="15.75" customHeight="1">
      <c r="E695" s="1"/>
    </row>
    <row r="696" spans="5:5" ht="15.75" customHeight="1">
      <c r="E696" s="1"/>
    </row>
    <row r="697" spans="5:5" ht="15.75" customHeight="1">
      <c r="E697" s="1"/>
    </row>
    <row r="698" spans="5:5" ht="15.75" customHeight="1">
      <c r="E698" s="1"/>
    </row>
    <row r="699" spans="5:5" ht="15.75" customHeight="1">
      <c r="E699" s="1"/>
    </row>
    <row r="700" spans="5:5" ht="15.75" customHeight="1">
      <c r="E700" s="1"/>
    </row>
    <row r="701" spans="5:5" ht="15.75" customHeight="1">
      <c r="E701" s="1"/>
    </row>
    <row r="702" spans="5:5" ht="15.75" customHeight="1">
      <c r="E702" s="1"/>
    </row>
    <row r="703" spans="5:5" ht="15.75" customHeight="1">
      <c r="E703" s="1"/>
    </row>
    <row r="704" spans="5:5" ht="15.75" customHeight="1">
      <c r="E704" s="1"/>
    </row>
    <row r="705" spans="5:5" ht="15.75" customHeight="1">
      <c r="E705" s="1"/>
    </row>
    <row r="706" spans="5:5" ht="15.75" customHeight="1">
      <c r="E706" s="1"/>
    </row>
    <row r="707" spans="5:5" ht="15.75" customHeight="1">
      <c r="E707" s="1"/>
    </row>
    <row r="708" spans="5:5" ht="15.75" customHeight="1">
      <c r="E708" s="1"/>
    </row>
    <row r="709" spans="5:5" ht="15.75" customHeight="1">
      <c r="E709" s="1"/>
    </row>
    <row r="710" spans="5:5" ht="15.75" customHeight="1">
      <c r="E710" s="1"/>
    </row>
    <row r="711" spans="5:5" ht="15.75" customHeight="1">
      <c r="E711" s="1"/>
    </row>
    <row r="712" spans="5:5" ht="15.75" customHeight="1">
      <c r="E712" s="1"/>
    </row>
    <row r="713" spans="5:5" ht="15.75" customHeight="1">
      <c r="E713" s="1"/>
    </row>
    <row r="714" spans="5:5" ht="15.75" customHeight="1">
      <c r="E714" s="1"/>
    </row>
    <row r="715" spans="5:5" ht="15.75" customHeight="1">
      <c r="E715" s="1"/>
    </row>
    <row r="716" spans="5:5" ht="15.75" customHeight="1">
      <c r="E716" s="1"/>
    </row>
    <row r="717" spans="5:5" ht="15.75" customHeight="1">
      <c r="E717" s="1"/>
    </row>
    <row r="718" spans="5:5" ht="15.75" customHeight="1">
      <c r="E718" s="1"/>
    </row>
    <row r="719" spans="5:5" ht="15.75" customHeight="1">
      <c r="E719" s="1"/>
    </row>
    <row r="720" spans="5:5" ht="15.75" customHeight="1">
      <c r="E720" s="1"/>
    </row>
    <row r="721" spans="5:5" ht="15.75" customHeight="1">
      <c r="E721" s="1"/>
    </row>
    <row r="722" spans="5:5" ht="15.75" customHeight="1">
      <c r="E722" s="1"/>
    </row>
    <row r="723" spans="5:5" ht="15.75" customHeight="1">
      <c r="E723" s="1"/>
    </row>
    <row r="724" spans="5:5" ht="15.75" customHeight="1">
      <c r="E724" s="1"/>
    </row>
    <row r="725" spans="5:5" ht="15.75" customHeight="1">
      <c r="E725" s="1"/>
    </row>
    <row r="726" spans="5:5" ht="15.75" customHeight="1">
      <c r="E726" s="1"/>
    </row>
    <row r="727" spans="5:5" ht="15.75" customHeight="1">
      <c r="E727" s="1"/>
    </row>
    <row r="728" spans="5:5" ht="15.75" customHeight="1">
      <c r="E728" s="1"/>
    </row>
    <row r="729" spans="5:5" ht="15.75" customHeight="1">
      <c r="E729" s="1"/>
    </row>
    <row r="730" spans="5:5" ht="15.75" customHeight="1">
      <c r="E730" s="1"/>
    </row>
    <row r="731" spans="5:5" ht="15.75" customHeight="1">
      <c r="E731" s="1"/>
    </row>
    <row r="732" spans="5:5" ht="15.75" customHeight="1">
      <c r="E732" s="1"/>
    </row>
    <row r="733" spans="5:5" ht="15.75" customHeight="1">
      <c r="E733" s="1"/>
    </row>
    <row r="734" spans="5:5" ht="15.75" customHeight="1">
      <c r="E734" s="1"/>
    </row>
    <row r="735" spans="5:5" ht="15.75" customHeight="1">
      <c r="E735" s="1"/>
    </row>
    <row r="736" spans="5:5" ht="15.75" customHeight="1">
      <c r="E736" s="1"/>
    </row>
    <row r="737" spans="5:5" ht="15.75" customHeight="1">
      <c r="E737" s="1"/>
    </row>
    <row r="738" spans="5:5" ht="15.75" customHeight="1">
      <c r="E738" s="1"/>
    </row>
    <row r="739" spans="5:5" ht="15.75" customHeight="1">
      <c r="E739" s="1"/>
    </row>
    <row r="740" spans="5:5" ht="15.75" customHeight="1">
      <c r="E740" s="1"/>
    </row>
    <row r="741" spans="5:5" ht="15.75" customHeight="1">
      <c r="E741" s="1"/>
    </row>
    <row r="742" spans="5:5" ht="15.75" customHeight="1">
      <c r="E742" s="1"/>
    </row>
    <row r="743" spans="5:5" ht="15.75" customHeight="1">
      <c r="E743" s="1"/>
    </row>
    <row r="744" spans="5:5" ht="15.75" customHeight="1">
      <c r="E744" s="1"/>
    </row>
    <row r="745" spans="5:5" ht="15.75" customHeight="1">
      <c r="E745" s="1"/>
    </row>
    <row r="746" spans="5:5" ht="15.75" customHeight="1">
      <c r="E746" s="1"/>
    </row>
    <row r="747" spans="5:5" ht="15.75" customHeight="1">
      <c r="E747" s="1"/>
    </row>
    <row r="748" spans="5:5" ht="15.75" customHeight="1">
      <c r="E748" s="1"/>
    </row>
    <row r="749" spans="5:5" ht="15.75" customHeight="1">
      <c r="E749" s="1"/>
    </row>
    <row r="750" spans="5:5" ht="15.75" customHeight="1">
      <c r="E750" s="1"/>
    </row>
    <row r="751" spans="5:5" ht="15.75" customHeight="1">
      <c r="E751" s="1"/>
    </row>
    <row r="752" spans="5:5" ht="15.75" customHeight="1">
      <c r="E752" s="1"/>
    </row>
    <row r="753" spans="5:5" ht="15.75" customHeight="1">
      <c r="E753" s="1"/>
    </row>
    <row r="754" spans="5:5" ht="15.75" customHeight="1">
      <c r="E754" s="1"/>
    </row>
    <row r="755" spans="5:5" ht="15.75" customHeight="1">
      <c r="E755" s="1"/>
    </row>
    <row r="756" spans="5:5" ht="15.75" customHeight="1">
      <c r="E756" s="1"/>
    </row>
    <row r="757" spans="5:5" ht="15.75" customHeight="1">
      <c r="E757" s="1"/>
    </row>
    <row r="758" spans="5:5" ht="15.75" customHeight="1">
      <c r="E758" s="1"/>
    </row>
    <row r="759" spans="5:5" ht="15.75" customHeight="1">
      <c r="E759" s="1"/>
    </row>
    <row r="760" spans="5:5" ht="15.75" customHeight="1">
      <c r="E760" s="1"/>
    </row>
    <row r="761" spans="5:5" ht="15.75" customHeight="1">
      <c r="E761" s="1"/>
    </row>
    <row r="762" spans="5:5" ht="15.75" customHeight="1">
      <c r="E762" s="1"/>
    </row>
    <row r="763" spans="5:5" ht="15.75" customHeight="1">
      <c r="E763" s="1"/>
    </row>
    <row r="764" spans="5:5" ht="15.75" customHeight="1">
      <c r="E764" s="1"/>
    </row>
    <row r="765" spans="5:5" ht="15.75" customHeight="1">
      <c r="E765" s="1"/>
    </row>
    <row r="766" spans="5:5" ht="15.75" customHeight="1">
      <c r="E766" s="1"/>
    </row>
    <row r="767" spans="5:5" ht="15.75" customHeight="1">
      <c r="E767" s="1"/>
    </row>
    <row r="768" spans="5:5" ht="15.75" customHeight="1">
      <c r="E768" s="1"/>
    </row>
    <row r="769" spans="5:5" ht="15.75" customHeight="1">
      <c r="E769" s="1"/>
    </row>
    <row r="770" spans="5:5" ht="15.75" customHeight="1">
      <c r="E770" s="1"/>
    </row>
    <row r="771" spans="5:5" ht="15.75" customHeight="1">
      <c r="E771" s="1"/>
    </row>
    <row r="772" spans="5:5" ht="15.75" customHeight="1">
      <c r="E772" s="1"/>
    </row>
    <row r="773" spans="5:5" ht="15.75" customHeight="1">
      <c r="E773" s="1"/>
    </row>
    <row r="774" spans="5:5" ht="15.75" customHeight="1">
      <c r="E774" s="1"/>
    </row>
    <row r="775" spans="5:5" ht="15.75" customHeight="1">
      <c r="E775" s="1"/>
    </row>
    <row r="776" spans="5:5" ht="15.75" customHeight="1">
      <c r="E776" s="1"/>
    </row>
    <row r="777" spans="5:5" ht="15.75" customHeight="1">
      <c r="E777" s="1"/>
    </row>
    <row r="778" spans="5:5" ht="15.75" customHeight="1">
      <c r="E778" s="1"/>
    </row>
    <row r="779" spans="5:5" ht="15.75" customHeight="1">
      <c r="E779" s="1"/>
    </row>
    <row r="780" spans="5:5" ht="15.75" customHeight="1">
      <c r="E780" s="1"/>
    </row>
    <row r="781" spans="5:5" ht="15.75" customHeight="1">
      <c r="E781" s="1"/>
    </row>
    <row r="782" spans="5:5" ht="15.75" customHeight="1">
      <c r="E782" s="1"/>
    </row>
    <row r="783" spans="5:5" ht="15.75" customHeight="1">
      <c r="E783" s="1"/>
    </row>
    <row r="784" spans="5:5" ht="15.75" customHeight="1">
      <c r="E784" s="1"/>
    </row>
    <row r="785" spans="5:5" ht="15.75" customHeight="1">
      <c r="E785" s="1"/>
    </row>
    <row r="786" spans="5:5" ht="15.75" customHeight="1">
      <c r="E786" s="1"/>
    </row>
    <row r="787" spans="5:5" ht="15.75" customHeight="1">
      <c r="E787" s="1"/>
    </row>
    <row r="788" spans="5:5" ht="15.75" customHeight="1">
      <c r="E788" s="1"/>
    </row>
    <row r="789" spans="5:5" ht="15.75" customHeight="1">
      <c r="E789" s="1"/>
    </row>
    <row r="790" spans="5:5" ht="15.75" customHeight="1">
      <c r="E790" s="1"/>
    </row>
    <row r="791" spans="5:5" ht="15.75" customHeight="1">
      <c r="E791" s="1"/>
    </row>
    <row r="792" spans="5:5" ht="15.75" customHeight="1">
      <c r="E792" s="1"/>
    </row>
    <row r="793" spans="5:5" ht="15.75" customHeight="1">
      <c r="E793" s="1"/>
    </row>
    <row r="794" spans="5:5" ht="15.75" customHeight="1">
      <c r="E794" s="1"/>
    </row>
    <row r="795" spans="5:5" ht="15.75" customHeight="1">
      <c r="E795" s="1"/>
    </row>
    <row r="796" spans="5:5" ht="15.75" customHeight="1">
      <c r="E796" s="1"/>
    </row>
    <row r="797" spans="5:5" ht="15.75" customHeight="1">
      <c r="E797" s="1"/>
    </row>
    <row r="798" spans="5:5" ht="15.75" customHeight="1">
      <c r="E798" s="1"/>
    </row>
    <row r="799" spans="5:5" ht="15.75" customHeight="1">
      <c r="E799" s="1"/>
    </row>
    <row r="800" spans="5:5" ht="15.75" customHeight="1">
      <c r="E800" s="1"/>
    </row>
    <row r="801" spans="5:5" ht="15.75" customHeight="1">
      <c r="E801" s="1"/>
    </row>
    <row r="802" spans="5:5" ht="15.75" customHeight="1">
      <c r="E802" s="1"/>
    </row>
    <row r="803" spans="5:5" ht="15.75" customHeight="1">
      <c r="E803" s="1"/>
    </row>
    <row r="804" spans="5:5" ht="15.75" customHeight="1">
      <c r="E804" s="1"/>
    </row>
    <row r="805" spans="5:5" ht="15.75" customHeight="1">
      <c r="E805" s="1"/>
    </row>
    <row r="806" spans="5:5" ht="15.75" customHeight="1">
      <c r="E806" s="1"/>
    </row>
    <row r="807" spans="5:5" ht="15.75" customHeight="1">
      <c r="E807" s="1"/>
    </row>
    <row r="808" spans="5:5" ht="15.75" customHeight="1">
      <c r="E808" s="1"/>
    </row>
    <row r="809" spans="5:5" ht="15.75" customHeight="1">
      <c r="E809" s="1"/>
    </row>
    <row r="810" spans="5:5" ht="15.75" customHeight="1">
      <c r="E810" s="1"/>
    </row>
    <row r="811" spans="5:5" ht="15.75" customHeight="1">
      <c r="E811" s="1"/>
    </row>
    <row r="812" spans="5:5" ht="15.75" customHeight="1">
      <c r="E812" s="1"/>
    </row>
    <row r="813" spans="5:5" ht="15.75" customHeight="1">
      <c r="E813" s="1"/>
    </row>
    <row r="814" spans="5:5" ht="15.75" customHeight="1">
      <c r="E814" s="1"/>
    </row>
    <row r="815" spans="5:5" ht="15.75" customHeight="1">
      <c r="E815" s="1"/>
    </row>
    <row r="816" spans="5:5" ht="15.75" customHeight="1">
      <c r="E816" s="1"/>
    </row>
    <row r="817" spans="5:5" ht="15.75" customHeight="1">
      <c r="E817" s="1"/>
    </row>
    <row r="818" spans="5:5" ht="15.75" customHeight="1">
      <c r="E818" s="1"/>
    </row>
    <row r="819" spans="5:5" ht="15.75" customHeight="1">
      <c r="E819" s="1"/>
    </row>
    <row r="820" spans="5:5" ht="15.75" customHeight="1">
      <c r="E820" s="1"/>
    </row>
    <row r="821" spans="5:5" ht="15.75" customHeight="1">
      <c r="E821" s="1"/>
    </row>
    <row r="822" spans="5:5" ht="15.75" customHeight="1">
      <c r="E822" s="1"/>
    </row>
    <row r="823" spans="5:5" ht="15.75" customHeight="1">
      <c r="E823" s="1"/>
    </row>
    <row r="824" spans="5:5" ht="15.75" customHeight="1">
      <c r="E824" s="1"/>
    </row>
    <row r="825" spans="5:5" ht="15.75" customHeight="1">
      <c r="E825" s="1"/>
    </row>
    <row r="826" spans="5:5" ht="15.75" customHeight="1">
      <c r="E826" s="1"/>
    </row>
    <row r="827" spans="5:5" ht="15.75" customHeight="1">
      <c r="E827" s="1"/>
    </row>
    <row r="828" spans="5:5" ht="15.75" customHeight="1">
      <c r="E828" s="1"/>
    </row>
    <row r="829" spans="5:5" ht="15.75" customHeight="1">
      <c r="E829" s="1"/>
    </row>
    <row r="830" spans="5:5" ht="15.75" customHeight="1">
      <c r="E830" s="1"/>
    </row>
    <row r="831" spans="5:5" ht="15.75" customHeight="1">
      <c r="E831" s="1"/>
    </row>
    <row r="832" spans="5:5" ht="15.75" customHeight="1">
      <c r="E832" s="1"/>
    </row>
    <row r="833" spans="5:5" ht="15.75" customHeight="1">
      <c r="E833" s="1"/>
    </row>
    <row r="834" spans="5:5" ht="15.75" customHeight="1">
      <c r="E834" s="1"/>
    </row>
    <row r="835" spans="5:5" ht="15.75" customHeight="1">
      <c r="E835" s="1"/>
    </row>
    <row r="836" spans="5:5" ht="15.75" customHeight="1">
      <c r="E836" s="1"/>
    </row>
    <row r="837" spans="5:5" ht="15.75" customHeight="1">
      <c r="E837" s="1"/>
    </row>
    <row r="838" spans="5:5" ht="15.75" customHeight="1">
      <c r="E838" s="1"/>
    </row>
    <row r="839" spans="5:5" ht="15.75" customHeight="1">
      <c r="E839" s="1"/>
    </row>
    <row r="840" spans="5:5" ht="15.75" customHeight="1">
      <c r="E840" s="1"/>
    </row>
    <row r="841" spans="5:5" ht="15.75" customHeight="1">
      <c r="E841" s="1"/>
    </row>
    <row r="842" spans="5:5" ht="15.75" customHeight="1">
      <c r="E842" s="1"/>
    </row>
    <row r="843" spans="5:5" ht="15.75" customHeight="1">
      <c r="E843" s="1"/>
    </row>
    <row r="844" spans="5:5" ht="15.75" customHeight="1">
      <c r="E844" s="1"/>
    </row>
    <row r="845" spans="5:5" ht="15.75" customHeight="1">
      <c r="E845" s="1"/>
    </row>
    <row r="846" spans="5:5" ht="15.75" customHeight="1">
      <c r="E846" s="1"/>
    </row>
    <row r="847" spans="5:5" ht="15.75" customHeight="1">
      <c r="E847" s="1"/>
    </row>
    <row r="848" spans="5:5" ht="15.75" customHeight="1">
      <c r="E848" s="1"/>
    </row>
    <row r="849" spans="5:5" ht="15.75" customHeight="1">
      <c r="E849" s="1"/>
    </row>
    <row r="850" spans="5:5" ht="15.75" customHeight="1">
      <c r="E850" s="1"/>
    </row>
    <row r="851" spans="5:5" ht="15.75" customHeight="1">
      <c r="E851" s="1"/>
    </row>
    <row r="852" spans="5:5" ht="15.75" customHeight="1">
      <c r="E852" s="1"/>
    </row>
    <row r="853" spans="5:5" ht="15.75" customHeight="1">
      <c r="E853" s="1"/>
    </row>
    <row r="854" spans="5:5" ht="15.75" customHeight="1">
      <c r="E854" s="1"/>
    </row>
    <row r="855" spans="5:5" ht="15.75" customHeight="1">
      <c r="E855" s="1"/>
    </row>
    <row r="856" spans="5:5" ht="15.75" customHeight="1">
      <c r="E856" s="1"/>
    </row>
    <row r="857" spans="5:5" ht="15.75" customHeight="1">
      <c r="E857" s="1"/>
    </row>
    <row r="858" spans="5:5" ht="15.75" customHeight="1">
      <c r="E858" s="1"/>
    </row>
    <row r="859" spans="5:5" ht="15.75" customHeight="1">
      <c r="E859" s="1"/>
    </row>
    <row r="860" spans="5:5" ht="15.75" customHeight="1">
      <c r="E860" s="1"/>
    </row>
    <row r="861" spans="5:5" ht="15.75" customHeight="1">
      <c r="E861" s="1"/>
    </row>
    <row r="862" spans="5:5" ht="15.75" customHeight="1">
      <c r="E862" s="1"/>
    </row>
    <row r="863" spans="5:5" ht="15.75" customHeight="1">
      <c r="E863" s="1"/>
    </row>
    <row r="864" spans="5:5" ht="15.75" customHeight="1">
      <c r="E864" s="1"/>
    </row>
    <row r="865" spans="5:5" ht="15.75" customHeight="1">
      <c r="E865" s="1"/>
    </row>
    <row r="866" spans="5:5" ht="15.75" customHeight="1">
      <c r="E866" s="1"/>
    </row>
    <row r="867" spans="5:5" ht="15.75" customHeight="1">
      <c r="E867" s="1"/>
    </row>
    <row r="868" spans="5:5" ht="15.75" customHeight="1">
      <c r="E868" s="1"/>
    </row>
    <row r="869" spans="5:5" ht="15.75" customHeight="1">
      <c r="E869" s="1"/>
    </row>
    <row r="870" spans="5:5" ht="15.75" customHeight="1">
      <c r="E870" s="1"/>
    </row>
    <row r="871" spans="5:5" ht="15.75" customHeight="1">
      <c r="E871" s="1"/>
    </row>
    <row r="872" spans="5:5" ht="15.75" customHeight="1">
      <c r="E872" s="1"/>
    </row>
    <row r="873" spans="5:5" ht="15.75" customHeight="1">
      <c r="E873" s="1"/>
    </row>
    <row r="874" spans="5:5" ht="15.75" customHeight="1">
      <c r="E874" s="1"/>
    </row>
    <row r="875" spans="5:5" ht="15.75" customHeight="1">
      <c r="E875" s="1"/>
    </row>
    <row r="876" spans="5:5" ht="15.75" customHeight="1">
      <c r="E876" s="1"/>
    </row>
    <row r="877" spans="5:5" ht="15.75" customHeight="1">
      <c r="E877" s="1"/>
    </row>
    <row r="878" spans="5:5" ht="15.75" customHeight="1">
      <c r="E878" s="1"/>
    </row>
    <row r="879" spans="5:5" ht="15.75" customHeight="1">
      <c r="E879" s="1"/>
    </row>
    <row r="880" spans="5:5" ht="15.75" customHeight="1">
      <c r="E880" s="1"/>
    </row>
    <row r="881" spans="5:5" ht="15.75" customHeight="1">
      <c r="E881" s="1"/>
    </row>
    <row r="882" spans="5:5" ht="15.75" customHeight="1">
      <c r="E882" s="1"/>
    </row>
    <row r="883" spans="5:5" ht="15.75" customHeight="1">
      <c r="E883" s="1"/>
    </row>
    <row r="884" spans="5:5" ht="15.75" customHeight="1">
      <c r="E884" s="1"/>
    </row>
    <row r="885" spans="5:5" ht="15.75" customHeight="1">
      <c r="E885" s="1"/>
    </row>
    <row r="886" spans="5:5" ht="15.75" customHeight="1">
      <c r="E886" s="1"/>
    </row>
    <row r="887" spans="5:5" ht="15.75" customHeight="1">
      <c r="E887" s="1"/>
    </row>
    <row r="888" spans="5:5" ht="15.75" customHeight="1">
      <c r="E888" s="1"/>
    </row>
    <row r="889" spans="5:5" ht="15.75" customHeight="1">
      <c r="E889" s="1"/>
    </row>
    <row r="890" spans="5:5" ht="15.75" customHeight="1">
      <c r="E890" s="1"/>
    </row>
    <row r="891" spans="5:5" ht="15.75" customHeight="1">
      <c r="E891" s="1"/>
    </row>
    <row r="892" spans="5:5" ht="15.75" customHeight="1">
      <c r="E892" s="1"/>
    </row>
    <row r="893" spans="5:5" ht="15.75" customHeight="1">
      <c r="E893" s="1"/>
    </row>
    <row r="894" spans="5:5" ht="15.75" customHeight="1">
      <c r="E894" s="1"/>
    </row>
    <row r="895" spans="5:5" ht="15.75" customHeight="1">
      <c r="E895" s="1"/>
    </row>
    <row r="896" spans="5:5" ht="15.75" customHeight="1">
      <c r="E896" s="1"/>
    </row>
    <row r="897" spans="5:5" ht="15.75" customHeight="1">
      <c r="E897" s="1"/>
    </row>
    <row r="898" spans="5:5" ht="15.75" customHeight="1">
      <c r="E898" s="1"/>
    </row>
    <row r="899" spans="5:5" ht="15.75" customHeight="1">
      <c r="E899" s="1"/>
    </row>
    <row r="900" spans="5:5" ht="15.75" customHeight="1">
      <c r="E900" s="1"/>
    </row>
    <row r="901" spans="5:5" ht="15.75" customHeight="1">
      <c r="E901" s="1"/>
    </row>
    <row r="902" spans="5:5" ht="15.75" customHeight="1">
      <c r="E902" s="1"/>
    </row>
    <row r="903" spans="5:5" ht="15.75" customHeight="1">
      <c r="E903" s="1"/>
    </row>
    <row r="904" spans="5:5" ht="15.75" customHeight="1">
      <c r="E904" s="1"/>
    </row>
    <row r="905" spans="5:5" ht="15.75" customHeight="1">
      <c r="E905" s="1"/>
    </row>
    <row r="906" spans="5:5" ht="15.75" customHeight="1">
      <c r="E906" s="1"/>
    </row>
    <row r="907" spans="5:5" ht="15.75" customHeight="1">
      <c r="E907" s="1"/>
    </row>
    <row r="908" spans="5:5" ht="15.75" customHeight="1">
      <c r="E908" s="1"/>
    </row>
    <row r="909" spans="5:5" ht="15.75" customHeight="1">
      <c r="E909" s="1"/>
    </row>
    <row r="910" spans="5:5" ht="15.75" customHeight="1">
      <c r="E910" s="1"/>
    </row>
    <row r="911" spans="5:5" ht="15.75" customHeight="1">
      <c r="E911" s="1"/>
    </row>
    <row r="912" spans="5:5" ht="15.75" customHeight="1">
      <c r="E912" s="1"/>
    </row>
    <row r="913" spans="5:5" ht="15.75" customHeight="1">
      <c r="E913" s="1"/>
    </row>
    <row r="914" spans="5:5" ht="15.75" customHeight="1">
      <c r="E914" s="1"/>
    </row>
    <row r="915" spans="5:5" ht="15.75" customHeight="1">
      <c r="E915" s="1"/>
    </row>
    <row r="916" spans="5:5" ht="15.75" customHeight="1">
      <c r="E916" s="1"/>
    </row>
    <row r="917" spans="5:5" ht="15.75" customHeight="1">
      <c r="E917" s="1"/>
    </row>
    <row r="918" spans="5:5" ht="15.75" customHeight="1">
      <c r="E918" s="1"/>
    </row>
    <row r="919" spans="5:5" ht="15.75" customHeight="1">
      <c r="E919" s="1"/>
    </row>
    <row r="920" spans="5:5" ht="15.75" customHeight="1">
      <c r="E920" s="1"/>
    </row>
    <row r="921" spans="5:5" ht="15.75" customHeight="1">
      <c r="E921" s="1"/>
    </row>
    <row r="922" spans="5:5" ht="15.75" customHeight="1">
      <c r="E922" s="1"/>
    </row>
    <row r="923" spans="5:5" ht="15.75" customHeight="1">
      <c r="E923" s="1"/>
    </row>
    <row r="924" spans="5:5" ht="15.75" customHeight="1">
      <c r="E924" s="1"/>
    </row>
    <row r="925" spans="5:5" ht="15.75" customHeight="1">
      <c r="E925" s="1"/>
    </row>
    <row r="926" spans="5:5" ht="15.75" customHeight="1">
      <c r="E926" s="1"/>
    </row>
    <row r="927" spans="5:5" ht="15.75" customHeight="1">
      <c r="E927" s="1"/>
    </row>
    <row r="928" spans="5:5" ht="15.75" customHeight="1">
      <c r="E928" s="1"/>
    </row>
    <row r="929" spans="5:5" ht="15.75" customHeight="1">
      <c r="E929" s="1"/>
    </row>
    <row r="930" spans="5:5" ht="15.75" customHeight="1">
      <c r="E930" s="1"/>
    </row>
    <row r="931" spans="5:5" ht="15.75" customHeight="1">
      <c r="E931" s="1"/>
    </row>
    <row r="932" spans="5:5" ht="15.75" customHeight="1">
      <c r="E932" s="1"/>
    </row>
    <row r="933" spans="5:5" ht="15.75" customHeight="1">
      <c r="E933" s="1"/>
    </row>
    <row r="934" spans="5:5" ht="15.75" customHeight="1">
      <c r="E934" s="1"/>
    </row>
    <row r="935" spans="5:5" ht="15.75" customHeight="1">
      <c r="E935" s="1"/>
    </row>
    <row r="936" spans="5:5" ht="15.75" customHeight="1">
      <c r="E936" s="1"/>
    </row>
    <row r="937" spans="5:5" ht="15.75" customHeight="1">
      <c r="E937" s="1"/>
    </row>
    <row r="938" spans="5:5" ht="15.75" customHeight="1">
      <c r="E938" s="1"/>
    </row>
    <row r="939" spans="5:5" ht="15.75" customHeight="1">
      <c r="E939" s="1"/>
    </row>
    <row r="940" spans="5:5" ht="15.75" customHeight="1">
      <c r="E940" s="1"/>
    </row>
    <row r="941" spans="5:5" ht="15.75" customHeight="1">
      <c r="E941" s="1"/>
    </row>
    <row r="942" spans="5:5" ht="15.75" customHeight="1">
      <c r="E942" s="1"/>
    </row>
    <row r="943" spans="5:5" ht="15.75" customHeight="1">
      <c r="E943" s="1"/>
    </row>
    <row r="944" spans="5:5" ht="15.75" customHeight="1">
      <c r="E944" s="1"/>
    </row>
    <row r="945" spans="5:5" ht="15.75" customHeight="1">
      <c r="E945" s="1"/>
    </row>
    <row r="946" spans="5:5" ht="15.75" customHeight="1">
      <c r="E946" s="1"/>
    </row>
    <row r="947" spans="5:5" ht="15.75" customHeight="1">
      <c r="E947" s="1"/>
    </row>
    <row r="948" spans="5:5" ht="15.75" customHeight="1">
      <c r="E948" s="1"/>
    </row>
    <row r="949" spans="5:5" ht="15.75" customHeight="1">
      <c r="E949" s="1"/>
    </row>
    <row r="950" spans="5:5" ht="15.75" customHeight="1">
      <c r="E950" s="1"/>
    </row>
    <row r="951" spans="5:5" ht="15.75" customHeight="1">
      <c r="E951" s="1"/>
    </row>
    <row r="952" spans="5:5" ht="15.75" customHeight="1">
      <c r="E952" s="1"/>
    </row>
    <row r="953" spans="5:5" ht="15.75" customHeight="1">
      <c r="E953" s="1"/>
    </row>
    <row r="954" spans="5:5" ht="15.75" customHeight="1">
      <c r="E954" s="1"/>
    </row>
    <row r="955" spans="5:5" ht="15.75" customHeight="1">
      <c r="E955" s="1"/>
    </row>
    <row r="956" spans="5:5" ht="15.75" customHeight="1">
      <c r="E956" s="1"/>
    </row>
    <row r="957" spans="5:5" ht="15.75" customHeight="1">
      <c r="E957" s="1"/>
    </row>
    <row r="958" spans="5:5" ht="15.75" customHeight="1">
      <c r="E958" s="1"/>
    </row>
    <row r="959" spans="5:5" ht="15.75" customHeight="1">
      <c r="E959" s="1"/>
    </row>
    <row r="960" spans="5:5" ht="15.75" customHeight="1">
      <c r="E960" s="1"/>
    </row>
    <row r="961" spans="5:5" ht="15.75" customHeight="1">
      <c r="E961" s="1"/>
    </row>
    <row r="962" spans="5:5" ht="15.75" customHeight="1">
      <c r="E962" s="1"/>
    </row>
    <row r="963" spans="5:5" ht="15.75" customHeight="1">
      <c r="E963" s="1"/>
    </row>
    <row r="964" spans="5:5" ht="15.75" customHeight="1">
      <c r="E964" s="1"/>
    </row>
    <row r="965" spans="5:5" ht="15.75" customHeight="1">
      <c r="E965" s="1"/>
    </row>
    <row r="966" spans="5:5" ht="15.75" customHeight="1">
      <c r="E966" s="1"/>
    </row>
    <row r="967" spans="5:5" ht="15.75" customHeight="1">
      <c r="E967" s="1"/>
    </row>
    <row r="968" spans="5:5" ht="15.75" customHeight="1">
      <c r="E968" s="1"/>
    </row>
    <row r="969" spans="5:5" ht="15.75" customHeight="1">
      <c r="E969" s="1"/>
    </row>
    <row r="970" spans="5:5" ht="15.75" customHeight="1">
      <c r="E970" s="1"/>
    </row>
    <row r="971" spans="5:5" ht="15.75" customHeight="1">
      <c r="E971" s="1"/>
    </row>
    <row r="972" spans="5:5" ht="15.75" customHeight="1">
      <c r="E972" s="1"/>
    </row>
    <row r="973" spans="5:5" ht="15.75" customHeight="1">
      <c r="E973" s="1"/>
    </row>
    <row r="974" spans="5:5" ht="15.75" customHeight="1">
      <c r="E974" s="1"/>
    </row>
    <row r="975" spans="5:5" ht="15.75" customHeight="1">
      <c r="E975" s="1"/>
    </row>
    <row r="976" spans="5:5" ht="15.75" customHeight="1">
      <c r="E976" s="1"/>
    </row>
    <row r="977" spans="5:5" ht="15.75" customHeight="1">
      <c r="E977" s="1"/>
    </row>
    <row r="978" spans="5:5" ht="15.75" customHeight="1">
      <c r="E978" s="1"/>
    </row>
    <row r="979" spans="5:5" ht="15.75" customHeight="1">
      <c r="E979" s="1"/>
    </row>
    <row r="980" spans="5:5" ht="15.75" customHeight="1">
      <c r="E980" s="1"/>
    </row>
    <row r="981" spans="5:5" ht="15.75" customHeight="1">
      <c r="E981" s="1"/>
    </row>
    <row r="982" spans="5:5" ht="15.75" customHeight="1">
      <c r="E982" s="1"/>
    </row>
    <row r="983" spans="5:5" ht="15.75" customHeight="1">
      <c r="E983" s="1"/>
    </row>
    <row r="984" spans="5:5" ht="15.75" customHeight="1">
      <c r="E984" s="1"/>
    </row>
    <row r="985" spans="5:5" ht="15.75" customHeight="1">
      <c r="E985" s="1"/>
    </row>
    <row r="986" spans="5:5" ht="15.75" customHeight="1">
      <c r="E986" s="1"/>
    </row>
    <row r="987" spans="5:5" ht="15.75" customHeight="1">
      <c r="E987" s="1"/>
    </row>
    <row r="988" spans="5:5" ht="15.75" customHeight="1">
      <c r="E988" s="1"/>
    </row>
    <row r="989" spans="5:5" ht="15.75" customHeight="1">
      <c r="E989" s="1"/>
    </row>
    <row r="990" spans="5:5" ht="15.75" customHeight="1">
      <c r="E990" s="1"/>
    </row>
    <row r="991" spans="5:5" ht="15.75" customHeight="1">
      <c r="E991" s="1"/>
    </row>
    <row r="992" spans="5:5" ht="15.75" customHeight="1">
      <c r="E992" s="1"/>
    </row>
    <row r="993" spans="5:5" ht="15.75" customHeight="1">
      <c r="E993" s="1"/>
    </row>
    <row r="994" spans="5:5" ht="15.75" customHeight="1">
      <c r="E994" s="1"/>
    </row>
    <row r="995" spans="5:5" ht="15.75" customHeight="1">
      <c r="E995" s="1"/>
    </row>
    <row r="996" spans="5:5" ht="15.75" customHeight="1">
      <c r="E996" s="1"/>
    </row>
    <row r="997" spans="5:5" ht="15.75" customHeight="1">
      <c r="E997" s="1"/>
    </row>
    <row r="998" spans="5:5" ht="15.75" customHeight="1">
      <c r="E998" s="1"/>
    </row>
    <row r="999" spans="5:5" ht="15.75" customHeight="1">
      <c r="E999" s="1"/>
    </row>
    <row r="1000" spans="5:5" ht="15.75" customHeight="1">
      <c r="E1000" s="1"/>
    </row>
  </sheetData>
  <mergeCells count="18">
    <mergeCell ref="A1:I1"/>
    <mergeCell ref="C2:G2"/>
    <mergeCell ref="J3:K3"/>
    <mergeCell ref="J4:K4"/>
    <mergeCell ref="J5:K5"/>
    <mergeCell ref="J6:K6"/>
    <mergeCell ref="J7:K7"/>
    <mergeCell ref="I84:J84"/>
    <mergeCell ref="I85:J85"/>
    <mergeCell ref="I86:J86"/>
    <mergeCell ref="I87:J87"/>
    <mergeCell ref="F7:H7"/>
    <mergeCell ref="A8:B8"/>
    <mergeCell ref="I79:J79"/>
    <mergeCell ref="I80:J80"/>
    <mergeCell ref="I81:J81"/>
    <mergeCell ref="I82:J82"/>
    <mergeCell ref="I83:J83"/>
  </mergeCells>
  <pageMargins left="0.75" right="0.75" top="0.75" bottom="0.75" header="0" footer="0"/>
  <pageSetup paperSize="5" scale="9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1000"/>
  <sheetViews>
    <sheetView workbookViewId="0"/>
  </sheetViews>
  <sheetFormatPr defaultColWidth="14.42578125" defaultRowHeight="15" customHeight="1"/>
  <cols>
    <col min="1" max="1" width="3.140625" customWidth="1"/>
    <col min="2" max="2" width="37.28515625" customWidth="1"/>
    <col min="3" max="3" width="4" customWidth="1"/>
    <col min="4" max="4" width="37" customWidth="1"/>
    <col min="5" max="5" width="4.140625" customWidth="1"/>
    <col min="6" max="6" width="34.42578125" customWidth="1"/>
    <col min="7" max="26" width="8.7109375" customWidth="1"/>
  </cols>
  <sheetData>
    <row r="2" spans="1:6" ht="20.25" customHeight="1">
      <c r="A2" s="173"/>
      <c r="B2" s="174" t="s">
        <v>2833</v>
      </c>
      <c r="C2" s="175"/>
      <c r="D2" s="174" t="s">
        <v>2834</v>
      </c>
      <c r="E2" s="175"/>
      <c r="F2" s="174" t="s">
        <v>2835</v>
      </c>
    </row>
    <row r="3" spans="1:6" ht="15.75">
      <c r="A3" s="176">
        <v>1</v>
      </c>
      <c r="B3" s="177" t="s">
        <v>1679</v>
      </c>
      <c r="C3" s="176">
        <v>1</v>
      </c>
      <c r="D3" s="177" t="s">
        <v>281</v>
      </c>
      <c r="E3" s="176">
        <v>1</v>
      </c>
      <c r="F3" s="177" t="s">
        <v>386</v>
      </c>
    </row>
    <row r="4" spans="1:6" ht="15.75">
      <c r="A4" s="146">
        <v>2</v>
      </c>
      <c r="B4" s="178" t="s">
        <v>158</v>
      </c>
      <c r="C4" s="146">
        <v>2</v>
      </c>
      <c r="D4" s="178" t="s">
        <v>323</v>
      </c>
      <c r="E4" s="146">
        <v>2</v>
      </c>
      <c r="F4" s="178" t="s">
        <v>229</v>
      </c>
    </row>
    <row r="5" spans="1:6" ht="15.75">
      <c r="A5" s="146">
        <v>3</v>
      </c>
      <c r="B5" s="178" t="s">
        <v>1446</v>
      </c>
      <c r="C5" s="146">
        <v>3</v>
      </c>
      <c r="D5" s="178" t="s">
        <v>235</v>
      </c>
      <c r="E5" s="146">
        <v>3</v>
      </c>
      <c r="F5" s="178" t="s">
        <v>248</v>
      </c>
    </row>
    <row r="6" spans="1:6" ht="15.75">
      <c r="A6" s="146">
        <v>4</v>
      </c>
      <c r="B6" s="178" t="s">
        <v>152</v>
      </c>
      <c r="C6" s="146">
        <v>4</v>
      </c>
      <c r="D6" s="178" t="s">
        <v>321</v>
      </c>
      <c r="E6" s="146">
        <v>4</v>
      </c>
      <c r="F6" s="178" t="s">
        <v>184</v>
      </c>
    </row>
    <row r="7" spans="1:6" ht="15.75">
      <c r="A7" s="146">
        <v>5</v>
      </c>
      <c r="B7" s="178" t="s">
        <v>254</v>
      </c>
      <c r="C7" s="146">
        <v>5</v>
      </c>
      <c r="D7" s="178" t="s">
        <v>241</v>
      </c>
      <c r="E7" s="146">
        <v>5</v>
      </c>
      <c r="F7" s="178" t="s">
        <v>467</v>
      </c>
    </row>
    <row r="8" spans="1:6" ht="15.75">
      <c r="A8" s="146">
        <v>6</v>
      </c>
      <c r="B8" s="178" t="s">
        <v>51</v>
      </c>
      <c r="C8" s="146">
        <v>6</v>
      </c>
      <c r="D8" s="178" t="s">
        <v>655</v>
      </c>
      <c r="E8" s="146">
        <v>6</v>
      </c>
      <c r="F8" s="178" t="s">
        <v>232</v>
      </c>
    </row>
    <row r="9" spans="1:6" ht="15.75">
      <c r="A9" s="146">
        <v>7</v>
      </c>
      <c r="B9" s="178" t="s">
        <v>525</v>
      </c>
      <c r="C9" s="146">
        <v>7</v>
      </c>
      <c r="D9" s="178" t="s">
        <v>251</v>
      </c>
      <c r="E9" s="146">
        <v>7</v>
      </c>
      <c r="F9" s="178" t="s">
        <v>2157</v>
      </c>
    </row>
    <row r="10" spans="1:6" ht="15.75">
      <c r="A10" s="146">
        <v>8</v>
      </c>
      <c r="B10" s="178" t="s">
        <v>722</v>
      </c>
      <c r="C10" s="146">
        <v>8</v>
      </c>
      <c r="D10" s="178" t="s">
        <v>2836</v>
      </c>
      <c r="E10" s="146">
        <v>8</v>
      </c>
      <c r="F10" s="178" t="s">
        <v>1667</v>
      </c>
    </row>
    <row r="11" spans="1:6" ht="15.75">
      <c r="A11" s="146">
        <v>9</v>
      </c>
      <c r="B11" s="178" t="s">
        <v>600</v>
      </c>
      <c r="C11" s="146">
        <v>9</v>
      </c>
      <c r="D11" s="178" t="s">
        <v>307</v>
      </c>
      <c r="E11" s="146">
        <v>9</v>
      </c>
      <c r="F11" s="178" t="s">
        <v>137</v>
      </c>
    </row>
    <row r="12" spans="1:6" ht="15.75">
      <c r="A12" s="146">
        <v>10</v>
      </c>
      <c r="B12" s="178" t="s">
        <v>156</v>
      </c>
      <c r="C12" s="146">
        <v>10</v>
      </c>
      <c r="D12" s="178" t="s">
        <v>33</v>
      </c>
      <c r="E12" s="146">
        <v>10</v>
      </c>
      <c r="F12" s="178" t="s">
        <v>89</v>
      </c>
    </row>
    <row r="13" spans="1:6" ht="15.75">
      <c r="A13" s="146">
        <v>11</v>
      </c>
      <c r="B13" s="178" t="s">
        <v>142</v>
      </c>
      <c r="C13" s="146">
        <v>11</v>
      </c>
      <c r="D13" s="178" t="s">
        <v>164</v>
      </c>
      <c r="E13" s="146">
        <v>11</v>
      </c>
      <c r="F13" s="178" t="s">
        <v>106</v>
      </c>
    </row>
    <row r="14" spans="1:6" ht="15.75">
      <c r="A14" s="146">
        <v>12</v>
      </c>
      <c r="B14" s="178" t="s">
        <v>1508</v>
      </c>
      <c r="C14" s="146">
        <v>12</v>
      </c>
      <c r="D14" s="178" t="s">
        <v>199</v>
      </c>
      <c r="E14" s="146">
        <v>12</v>
      </c>
      <c r="F14" s="178" t="s">
        <v>917</v>
      </c>
    </row>
    <row r="15" spans="1:6" ht="15.75">
      <c r="A15" s="146">
        <v>13</v>
      </c>
      <c r="B15" s="178" t="s">
        <v>390</v>
      </c>
      <c r="C15" s="146">
        <v>13</v>
      </c>
      <c r="D15" s="178" t="s">
        <v>193</v>
      </c>
      <c r="E15" s="146">
        <v>13</v>
      </c>
      <c r="F15" s="178" t="s">
        <v>99</v>
      </c>
    </row>
    <row r="16" spans="1:6" ht="15.75">
      <c r="A16" s="146">
        <v>14</v>
      </c>
      <c r="B16" s="178" t="s">
        <v>75</v>
      </c>
      <c r="C16" s="146">
        <v>14</v>
      </c>
      <c r="D16" s="178" t="s">
        <v>80</v>
      </c>
      <c r="E16" s="146">
        <v>14</v>
      </c>
      <c r="F16" s="178" t="s">
        <v>285</v>
      </c>
    </row>
    <row r="17" spans="1:6" ht="15.75">
      <c r="A17" s="146">
        <v>15</v>
      </c>
      <c r="B17" s="178" t="s">
        <v>48</v>
      </c>
      <c r="C17" s="146"/>
      <c r="D17" s="11"/>
      <c r="E17" s="146">
        <v>15</v>
      </c>
      <c r="F17" s="178" t="s">
        <v>1865</v>
      </c>
    </row>
    <row r="18" spans="1:6" ht="15.75">
      <c r="A18" s="146"/>
      <c r="B18" s="11"/>
      <c r="C18" s="146"/>
      <c r="D18" s="11"/>
      <c r="E18" s="146">
        <v>16</v>
      </c>
      <c r="F18" s="178" t="s">
        <v>507</v>
      </c>
    </row>
    <row r="19" spans="1:6" ht="15.75">
      <c r="A19" s="146"/>
      <c r="B19" s="11"/>
      <c r="C19" s="146"/>
      <c r="D19" s="11"/>
      <c r="E19" s="146">
        <v>17</v>
      </c>
      <c r="F19" s="178" t="s">
        <v>115</v>
      </c>
    </row>
    <row r="20" spans="1:6" ht="15.75">
      <c r="A20" s="146"/>
      <c r="B20" s="11"/>
      <c r="C20" s="146"/>
      <c r="D20" s="11"/>
      <c r="E20" s="146">
        <v>18</v>
      </c>
      <c r="F20" s="178" t="s">
        <v>41</v>
      </c>
    </row>
    <row r="21" spans="1:6" ht="15.75" customHeight="1">
      <c r="A21" s="179"/>
      <c r="B21" s="180"/>
      <c r="C21" s="179"/>
      <c r="D21" s="180"/>
      <c r="E21" s="179">
        <v>19</v>
      </c>
      <c r="F21" s="181" t="s">
        <v>148</v>
      </c>
    </row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/>
  <pageMargins left="0.7" right="0.7" top="0.75" bottom="0.75" header="0" footer="0"/>
  <pageSetup orientation="landscape"/>
  <headerFooter>
    <oddHeader>&amp;C PROVINCE OF BOHOL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309D-B135-4B1F-8273-CF95E96B3006}">
  <dimension ref="A1:L24"/>
  <sheetViews>
    <sheetView tabSelected="1" topLeftCell="B13" workbookViewId="0">
      <selection activeCell="K27" sqref="K27"/>
    </sheetView>
  </sheetViews>
  <sheetFormatPr defaultRowHeight="15"/>
  <cols>
    <col min="2" max="2" width="26.28515625" customWidth="1"/>
    <col min="3" max="3" width="18.7109375" customWidth="1"/>
    <col min="4" max="4" width="16.85546875" customWidth="1"/>
    <col min="5" max="5" width="17.42578125" customWidth="1"/>
    <col min="7" max="7" width="24.5703125" customWidth="1"/>
    <col min="8" max="8" width="19" customWidth="1"/>
  </cols>
  <sheetData>
    <row r="1" spans="1:12" ht="23.25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1"/>
    </row>
    <row r="2" spans="1:12" ht="18">
      <c r="A2" s="2"/>
      <c r="B2" s="3"/>
      <c r="C2" s="242" t="s">
        <v>69</v>
      </c>
      <c r="D2" s="241"/>
      <c r="E2" s="241"/>
      <c r="F2" s="241"/>
      <c r="G2" s="241"/>
      <c r="H2" s="241"/>
      <c r="I2" s="4"/>
      <c r="J2" s="5"/>
      <c r="K2" s="6"/>
      <c r="L2" s="6"/>
    </row>
    <row r="3" spans="1:12">
      <c r="A3" s="2"/>
      <c r="B3" s="3"/>
      <c r="C3" s="7"/>
      <c r="D3" s="3"/>
      <c r="E3" s="3"/>
      <c r="G3" s="3"/>
      <c r="H3" s="7"/>
      <c r="I3" s="4"/>
      <c r="J3" s="5"/>
      <c r="K3" s="8" t="s">
        <v>70</v>
      </c>
      <c r="L3" s="9"/>
    </row>
    <row r="4" spans="1:12">
      <c r="A4" s="2"/>
      <c r="B4" s="3"/>
      <c r="C4" s="7"/>
      <c r="D4" s="3"/>
      <c r="E4" s="3"/>
      <c r="G4" s="3"/>
      <c r="H4" s="7"/>
      <c r="I4" s="4"/>
      <c r="J4" s="5"/>
      <c r="K4" s="10" t="s">
        <v>71</v>
      </c>
      <c r="L4" s="11"/>
    </row>
    <row r="5" spans="1:12">
      <c r="A5" s="2"/>
      <c r="B5" s="3"/>
      <c r="C5" s="7"/>
      <c r="D5" s="3"/>
      <c r="E5" s="3"/>
      <c r="G5" s="3"/>
      <c r="H5" s="7"/>
      <c r="I5" s="4"/>
      <c r="J5" s="5"/>
      <c r="K5" s="10" t="s">
        <v>72</v>
      </c>
      <c r="L5" s="11"/>
    </row>
    <row r="6" spans="1:12" ht="18">
      <c r="A6" s="12" t="s">
        <v>5</v>
      </c>
      <c r="B6" s="13"/>
      <c r="C6" s="14"/>
      <c r="D6" s="3"/>
      <c r="E6" s="15"/>
      <c r="F6" s="6"/>
      <c r="G6" s="3"/>
      <c r="H6" s="7"/>
      <c r="I6" s="4"/>
      <c r="J6" s="5"/>
      <c r="K6" s="16" t="s">
        <v>73</v>
      </c>
      <c r="L6" s="17"/>
    </row>
    <row r="7" spans="1:12">
      <c r="A7" s="18"/>
      <c r="B7" s="19"/>
      <c r="C7" s="20" t="s">
        <v>7</v>
      </c>
      <c r="D7" s="21"/>
      <c r="E7" s="21"/>
      <c r="F7" s="22" t="s">
        <v>8</v>
      </c>
      <c r="G7" s="20" t="s">
        <v>9</v>
      </c>
      <c r="H7" s="243" t="s">
        <v>10</v>
      </c>
      <c r="I7" s="244"/>
      <c r="J7" s="23"/>
      <c r="K7" s="245" t="s">
        <v>11</v>
      </c>
      <c r="L7" s="246"/>
    </row>
    <row r="8" spans="1:12">
      <c r="A8" s="247" t="s">
        <v>12</v>
      </c>
      <c r="B8" s="248"/>
      <c r="C8" s="22" t="s">
        <v>13</v>
      </c>
      <c r="D8" s="24" t="s">
        <v>14</v>
      </c>
      <c r="E8" s="25" t="s">
        <v>15</v>
      </c>
      <c r="F8" s="22" t="s">
        <v>16</v>
      </c>
      <c r="G8" s="26" t="s">
        <v>17</v>
      </c>
      <c r="H8" s="27"/>
      <c r="I8" s="28" t="s">
        <v>18</v>
      </c>
      <c r="J8" s="29" t="s">
        <v>19</v>
      </c>
      <c r="K8" s="30"/>
      <c r="L8" s="9"/>
    </row>
    <row r="9" spans="1:12">
      <c r="A9" s="31"/>
      <c r="B9" s="32"/>
      <c r="C9" s="22" t="s">
        <v>20</v>
      </c>
      <c r="D9" s="33"/>
      <c r="E9" s="32"/>
      <c r="F9" s="22" t="s">
        <v>21</v>
      </c>
      <c r="G9" s="26" t="s">
        <v>22</v>
      </c>
      <c r="H9" s="34" t="s">
        <v>23</v>
      </c>
      <c r="I9" s="28" t="s">
        <v>24</v>
      </c>
      <c r="J9" s="35"/>
      <c r="K9" s="24" t="s">
        <v>25</v>
      </c>
      <c r="L9" s="24" t="s">
        <v>26</v>
      </c>
    </row>
    <row r="10" spans="1:12">
      <c r="A10" s="36"/>
      <c r="B10" s="37"/>
      <c r="C10" s="38"/>
      <c r="D10" s="39"/>
      <c r="E10" s="39"/>
      <c r="F10" s="40" t="s">
        <v>27</v>
      </c>
      <c r="G10" s="41"/>
      <c r="H10" s="42"/>
      <c r="I10" s="43" t="s">
        <v>28</v>
      </c>
      <c r="J10" s="44"/>
      <c r="K10" s="45"/>
      <c r="L10" s="41" t="s">
        <v>29</v>
      </c>
    </row>
    <row r="11" spans="1:12">
      <c r="A11" s="46" t="s">
        <v>30</v>
      </c>
      <c r="B11" s="47"/>
      <c r="C11" s="48"/>
      <c r="D11" s="47"/>
      <c r="E11" s="47"/>
      <c r="F11" s="49"/>
      <c r="G11" s="47"/>
      <c r="H11" s="48"/>
      <c r="I11" s="50"/>
      <c r="J11" s="51"/>
      <c r="K11" s="49"/>
      <c r="L11" s="49"/>
    </row>
    <row r="12" spans="1:12">
      <c r="A12" s="49">
        <v>1</v>
      </c>
      <c r="B12" s="49" t="s">
        <v>74</v>
      </c>
      <c r="C12" s="49"/>
      <c r="D12" s="49"/>
      <c r="E12" s="49" t="s">
        <v>75</v>
      </c>
      <c r="F12" s="49"/>
      <c r="G12" s="52" t="s">
        <v>76</v>
      </c>
      <c r="H12" s="53" t="s">
        <v>35</v>
      </c>
      <c r="I12" s="54">
        <v>8000</v>
      </c>
      <c r="J12" s="55"/>
      <c r="K12" s="56" t="s">
        <v>43</v>
      </c>
      <c r="L12" s="49" t="s">
        <v>37</v>
      </c>
    </row>
    <row r="13" spans="1:12">
      <c r="A13" s="49">
        <v>7</v>
      </c>
      <c r="B13" s="49" t="s">
        <v>77</v>
      </c>
      <c r="C13" s="49"/>
      <c r="D13" s="49" t="s">
        <v>32</v>
      </c>
      <c r="E13" s="49" t="s">
        <v>33</v>
      </c>
      <c r="F13" s="49"/>
      <c r="G13" s="52" t="s">
        <v>34</v>
      </c>
      <c r="H13" s="53" t="s">
        <v>35</v>
      </c>
      <c r="I13" s="54">
        <v>9850</v>
      </c>
      <c r="J13" s="55">
        <v>1477.5</v>
      </c>
      <c r="K13" s="56" t="s">
        <v>36</v>
      </c>
      <c r="L13" s="49" t="s">
        <v>37</v>
      </c>
    </row>
    <row r="14" spans="1:12">
      <c r="A14" s="49">
        <v>7</v>
      </c>
      <c r="B14" s="49" t="s">
        <v>78</v>
      </c>
      <c r="C14" s="49"/>
      <c r="D14" s="49" t="s">
        <v>79</v>
      </c>
      <c r="E14" s="49" t="s">
        <v>80</v>
      </c>
      <c r="F14" s="49"/>
      <c r="G14" s="52" t="s">
        <v>81</v>
      </c>
      <c r="H14" s="53" t="s">
        <v>35</v>
      </c>
      <c r="I14" s="54">
        <v>8000</v>
      </c>
      <c r="J14" s="55">
        <v>1200</v>
      </c>
      <c r="K14" s="56" t="s">
        <v>36</v>
      </c>
      <c r="L14" s="49" t="s">
        <v>37</v>
      </c>
    </row>
    <row r="15" spans="1:12">
      <c r="A15" s="49">
        <v>19</v>
      </c>
      <c r="B15" s="49" t="s">
        <v>82</v>
      </c>
      <c r="C15" s="49"/>
      <c r="D15" s="49" t="s">
        <v>83</v>
      </c>
      <c r="E15" s="49" t="s">
        <v>84</v>
      </c>
      <c r="F15" s="49"/>
      <c r="G15" s="52" t="s">
        <v>85</v>
      </c>
      <c r="H15" s="53" t="s">
        <v>86</v>
      </c>
      <c r="I15" s="54">
        <v>10000</v>
      </c>
      <c r="J15" s="55"/>
      <c r="K15" s="56" t="s">
        <v>43</v>
      </c>
      <c r="L15" s="49" t="s">
        <v>37</v>
      </c>
    </row>
    <row r="16" spans="1:12">
      <c r="A16" s="49">
        <v>20</v>
      </c>
      <c r="B16" s="49" t="s">
        <v>77</v>
      </c>
      <c r="C16" s="49"/>
      <c r="D16" s="49" t="s">
        <v>32</v>
      </c>
      <c r="E16" s="49" t="s">
        <v>33</v>
      </c>
      <c r="F16" s="49"/>
      <c r="G16" s="52" t="s">
        <v>34</v>
      </c>
      <c r="H16" s="53" t="s">
        <v>35</v>
      </c>
      <c r="I16" s="54">
        <v>6000</v>
      </c>
      <c r="J16" s="55">
        <v>900</v>
      </c>
      <c r="K16" s="56" t="s">
        <v>36</v>
      </c>
      <c r="L16" s="49" t="s">
        <v>37</v>
      </c>
    </row>
    <row r="17" spans="1:12">
      <c r="A17" s="49">
        <v>22</v>
      </c>
      <c r="B17" s="49" t="s">
        <v>87</v>
      </c>
      <c r="C17" s="49"/>
      <c r="D17" s="49" t="s">
        <v>88</v>
      </c>
      <c r="E17" s="49" t="s">
        <v>89</v>
      </c>
      <c r="F17" s="49"/>
      <c r="G17" s="52" t="s">
        <v>90</v>
      </c>
      <c r="H17" s="53" t="s">
        <v>35</v>
      </c>
      <c r="I17" s="54">
        <v>19000</v>
      </c>
      <c r="J17" s="55"/>
      <c r="K17" s="56" t="s">
        <v>43</v>
      </c>
      <c r="L17" s="49" t="s">
        <v>37</v>
      </c>
    </row>
    <row r="18" spans="1:12">
      <c r="A18" s="49">
        <v>22</v>
      </c>
      <c r="B18" s="49" t="s">
        <v>82</v>
      </c>
      <c r="C18" s="49"/>
      <c r="D18" s="49" t="s">
        <v>83</v>
      </c>
      <c r="E18" s="49" t="s">
        <v>84</v>
      </c>
      <c r="F18" s="49"/>
      <c r="G18" s="52" t="s">
        <v>91</v>
      </c>
      <c r="H18" s="53" t="s">
        <v>86</v>
      </c>
      <c r="I18" s="54">
        <v>10000</v>
      </c>
      <c r="J18" s="55"/>
      <c r="K18" s="56" t="s">
        <v>43</v>
      </c>
      <c r="L18" s="49" t="s">
        <v>37</v>
      </c>
    </row>
    <row r="19" spans="1:12">
      <c r="A19" s="49">
        <v>23</v>
      </c>
      <c r="B19" s="49" t="s">
        <v>92</v>
      </c>
      <c r="C19" s="49"/>
      <c r="D19" s="49" t="s">
        <v>93</v>
      </c>
      <c r="E19" s="49" t="s">
        <v>94</v>
      </c>
      <c r="F19" s="49"/>
      <c r="G19" s="52" t="s">
        <v>95</v>
      </c>
      <c r="H19" s="53" t="s">
        <v>35</v>
      </c>
      <c r="I19" s="54">
        <v>40000</v>
      </c>
      <c r="J19" s="55"/>
      <c r="K19" s="56" t="s">
        <v>43</v>
      </c>
      <c r="L19" s="49" t="s">
        <v>37</v>
      </c>
    </row>
    <row r="20" spans="1:12">
      <c r="A20" s="49"/>
      <c r="B20" s="49"/>
      <c r="C20" s="49"/>
      <c r="D20" s="49"/>
      <c r="E20" s="49"/>
      <c r="F20" s="49"/>
      <c r="G20" s="52"/>
      <c r="H20" s="53"/>
      <c r="I20" s="54"/>
      <c r="J20" s="55"/>
      <c r="K20" s="56"/>
      <c r="L20" s="49"/>
    </row>
    <row r="21" spans="1:12">
      <c r="A21" s="49"/>
      <c r="B21" s="49"/>
      <c r="C21" s="49"/>
      <c r="D21" s="49"/>
      <c r="E21" s="49"/>
      <c r="F21" s="49"/>
      <c r="G21" s="52"/>
      <c r="H21" s="53"/>
      <c r="I21" s="54"/>
      <c r="J21" s="55"/>
      <c r="K21" s="56"/>
      <c r="L21" s="49"/>
    </row>
    <row r="22" spans="1:12">
      <c r="A22" s="49"/>
      <c r="B22" s="49"/>
      <c r="C22" s="49"/>
      <c r="D22" s="49"/>
      <c r="E22" s="49"/>
      <c r="F22" s="49"/>
      <c r="G22" s="52"/>
      <c r="H22" s="53"/>
      <c r="I22" s="54"/>
      <c r="J22" s="55"/>
      <c r="K22" s="56"/>
      <c r="L22" s="49"/>
    </row>
    <row r="23" spans="1:12">
      <c r="A23" s="49"/>
      <c r="B23" s="56"/>
      <c r="C23" s="49"/>
      <c r="D23" s="56"/>
      <c r="E23" s="56"/>
      <c r="F23" s="49"/>
      <c r="G23" s="56"/>
      <c r="H23" s="53"/>
      <c r="I23" s="57"/>
      <c r="J23" s="49"/>
      <c r="K23" s="56"/>
      <c r="L23" s="30"/>
    </row>
    <row r="24" spans="1:12">
      <c r="A24" s="49"/>
      <c r="B24" s="56"/>
      <c r="C24" s="56"/>
      <c r="D24" s="56"/>
      <c r="E24" s="56"/>
      <c r="F24" s="49"/>
      <c r="G24" s="56"/>
      <c r="H24" s="53"/>
      <c r="I24" s="50"/>
      <c r="J24" s="53"/>
      <c r="K24" s="56"/>
      <c r="L24" s="56"/>
    </row>
  </sheetData>
  <mergeCells count="5">
    <mergeCell ref="A1:J1"/>
    <mergeCell ref="C2:H2"/>
    <mergeCell ref="H7:I7"/>
    <mergeCell ref="K7:L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January (Groups)</vt:lpstr>
      <vt:lpstr>April (Groups)</vt:lpstr>
      <vt:lpstr>May (Groups)</vt:lpstr>
      <vt:lpstr>June (Groups)</vt:lpstr>
      <vt:lpstr>July (Groups)</vt:lpstr>
      <vt:lpstr>August (Groups)</vt:lpstr>
      <vt:lpstr>March (Groups)</vt:lpstr>
      <vt:lpstr>September (Groups)</vt:lpstr>
      <vt:lpstr>October (Groups)</vt:lpstr>
      <vt:lpstr>November (Groups)</vt:lpstr>
      <vt:lpstr>December (Groups)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Province of Bohol</vt:lpstr>
      <vt:lpstr>February (Group)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Japhet Ken Candog</cp:lastModifiedBy>
  <dcterms:created xsi:type="dcterms:W3CDTF">2006-09-16T00:00:00Z</dcterms:created>
  <dcterms:modified xsi:type="dcterms:W3CDTF">2026-04-12T05:36:43Z</dcterms:modified>
</cp:coreProperties>
</file>